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idhi Documents\"/>
    </mc:Choice>
  </mc:AlternateContent>
  <xr:revisionPtr revIDLastSave="0" documentId="13_ncr:1_{BA009422-F47D-42FB-ACFB-4F09AFFFC662}" xr6:coauthVersionLast="47" xr6:coauthVersionMax="47" xr10:uidLastSave="{00000000-0000-0000-0000-000000000000}"/>
  <bookViews>
    <workbookView xWindow="-108" yWindow="-108" windowWidth="23256" windowHeight="12456" activeTab="2" xr2:uid="{346E9414-B35F-45AF-BD10-A49946802499}"/>
  </bookViews>
  <sheets>
    <sheet name="Raw_Customer_Order_Data.xls (2)" sheetId="2" r:id="rId1"/>
    <sheet name="Sheet3" sheetId="3" r:id="rId2"/>
    <sheet name="Dashboard" sheetId="4" r:id="rId3"/>
    <sheet name="Cleaned_Data" sheetId="1" r:id="rId4"/>
  </sheets>
  <definedNames>
    <definedName name="D3E3">Dashboard!$D$3:$E$4</definedName>
    <definedName name="NativeTimeline_Order_Date">#N/A</definedName>
    <definedName name="Slicer_City">#N/A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4" l="1"/>
  <c r="F4" i="4"/>
  <c r="D4" i="4"/>
  <c r="B4" i="4"/>
</calcChain>
</file>

<file path=xl/sharedStrings.xml><?xml version="1.0" encoding="utf-8"?>
<sst xmlns="http://schemas.openxmlformats.org/spreadsheetml/2006/main" count="280" uniqueCount="138">
  <si>
    <t>Customer_ID</t>
  </si>
  <si>
    <t>Customer_Name</t>
  </si>
  <si>
    <t>City</t>
  </si>
  <si>
    <t>Email</t>
  </si>
  <si>
    <t>Order_Date</t>
  </si>
  <si>
    <t>Amount</t>
  </si>
  <si>
    <t>C001</t>
  </si>
  <si>
    <t>Rahul Sharma</t>
  </si>
  <si>
    <t>bangalore</t>
  </si>
  <si>
    <t>rahul@gmail.com</t>
  </si>
  <si>
    <t>C002</t>
  </si>
  <si>
    <t>Priya Singh</t>
  </si>
  <si>
    <t>Delhi</t>
  </si>
  <si>
    <t>priya@gmail.com</t>
  </si>
  <si>
    <t>C003</t>
  </si>
  <si>
    <t>Amit Kumar</t>
  </si>
  <si>
    <t>MUMBAI</t>
  </si>
  <si>
    <t>amit@gmail.com</t>
  </si>
  <si>
    <t>C004</t>
  </si>
  <si>
    <t>Neha Verma</t>
  </si>
  <si>
    <t>neha@gmail.com</t>
  </si>
  <si>
    <t>C005</t>
  </si>
  <si>
    <t>Rohit Gupta</t>
  </si>
  <si>
    <t>Pune</t>
  </si>
  <si>
    <t>C006</t>
  </si>
  <si>
    <t>Sneha Roy</t>
  </si>
  <si>
    <t>delhi</t>
  </si>
  <si>
    <t>sneha@gmail.com</t>
  </si>
  <si>
    <t>C007</t>
  </si>
  <si>
    <t>Arjun Mehta</t>
  </si>
  <si>
    <t>pune</t>
  </si>
  <si>
    <t>arjun@gmail.com</t>
  </si>
  <si>
    <t>C008</t>
  </si>
  <si>
    <t>Pooja Shah</t>
  </si>
  <si>
    <t>Bangalore</t>
  </si>
  <si>
    <t>pooja@gmail.com</t>
  </si>
  <si>
    <t>C009</t>
  </si>
  <si>
    <t>Karan Patel</t>
  </si>
  <si>
    <t>mumbai</t>
  </si>
  <si>
    <t>karan@gmail.com</t>
  </si>
  <si>
    <t>13-08-2026</t>
  </si>
  <si>
    <t>C010</t>
  </si>
  <si>
    <t>Anjali Das</t>
  </si>
  <si>
    <t>KOLKATA</t>
  </si>
  <si>
    <t>anjali@gmail.com</t>
  </si>
  <si>
    <t>14/08/2026</t>
  </si>
  <si>
    <t>C011</t>
  </si>
  <si>
    <t>Vikash Yadav</t>
  </si>
  <si>
    <t>hyderabad</t>
  </si>
  <si>
    <t>vikash@gmail.com</t>
  </si>
  <si>
    <t>15-08-2026</t>
  </si>
  <si>
    <t>C012</t>
  </si>
  <si>
    <t>Riya Kapoor</t>
  </si>
  <si>
    <t>riya@gmail.com</t>
  </si>
  <si>
    <t>16/08/2026</t>
  </si>
  <si>
    <t>C013</t>
  </si>
  <si>
    <t>Manish Jain</t>
  </si>
  <si>
    <t>BANGALORE</t>
  </si>
  <si>
    <t>manish@gmail.com</t>
  </si>
  <si>
    <t>17-08-2026</t>
  </si>
  <si>
    <t>C014</t>
  </si>
  <si>
    <t>Kavita Rao</t>
  </si>
  <si>
    <t>Hyderabad</t>
  </si>
  <si>
    <t>18/08/2026</t>
  </si>
  <si>
    <t>C015</t>
  </si>
  <si>
    <t>Deepak Sinha</t>
  </si>
  <si>
    <t>deepak@gmail.com</t>
  </si>
  <si>
    <t>19-08-2026</t>
  </si>
  <si>
    <t>C016</t>
  </si>
  <si>
    <t>Meera Nair</t>
  </si>
  <si>
    <t>CHENNAI</t>
  </si>
  <si>
    <t>meera@gmail.com</t>
  </si>
  <si>
    <t>20/08/2026</t>
  </si>
  <si>
    <t>C017</t>
  </si>
  <si>
    <t>Suresh Kumar</t>
  </si>
  <si>
    <t>Mumbai</t>
  </si>
  <si>
    <t>suresh@gmail.com</t>
  </si>
  <si>
    <t>21-08-2026</t>
  </si>
  <si>
    <t>C018</t>
  </si>
  <si>
    <t>Nisha Gupta</t>
  </si>
  <si>
    <t>kolkata</t>
  </si>
  <si>
    <t>nisha@gmail.com</t>
  </si>
  <si>
    <t>22/08/2026</t>
  </si>
  <si>
    <t>C019</t>
  </si>
  <si>
    <t>Raj Malhotra</t>
  </si>
  <si>
    <t>DELHI</t>
  </si>
  <si>
    <t>raj@gmail.com</t>
  </si>
  <si>
    <t>23-08-2026</t>
  </si>
  <si>
    <t>C020</t>
  </si>
  <si>
    <t>Simran Kaur</t>
  </si>
  <si>
    <t>simran@gmail.com</t>
  </si>
  <si>
    <t>24/08/2026</t>
  </si>
  <si>
    <t>C021</t>
  </si>
  <si>
    <t>Mohit Sharma</t>
  </si>
  <si>
    <t>HYDERABAD</t>
  </si>
  <si>
    <t>mohit@gmail.com</t>
  </si>
  <si>
    <t>25-08-2026</t>
  </si>
  <si>
    <t>C022</t>
  </si>
  <si>
    <t>Aarti Singh</t>
  </si>
  <si>
    <t>chennai</t>
  </si>
  <si>
    <t>aarti@gmail.com</t>
  </si>
  <si>
    <t>26/08/2026</t>
  </si>
  <si>
    <t>C023</t>
  </si>
  <si>
    <t>Varun Verma</t>
  </si>
  <si>
    <t>varun@gmail.com</t>
  </si>
  <si>
    <t>27-08-2026</t>
  </si>
  <si>
    <t>C024</t>
  </si>
  <si>
    <t>Sonali Roy</t>
  </si>
  <si>
    <t>28/08/2026</t>
  </si>
  <si>
    <t>C025</t>
  </si>
  <si>
    <t>Akash Mehta</t>
  </si>
  <si>
    <t>akash@gmail.com</t>
  </si>
  <si>
    <t>29-08-2026</t>
  </si>
  <si>
    <t>C026</t>
  </si>
  <si>
    <t>Divya Patel</t>
  </si>
  <si>
    <t>divya@gmail.com</t>
  </si>
  <si>
    <t>30/08/2026</t>
  </si>
  <si>
    <t>C027</t>
  </si>
  <si>
    <t>Naveen Rao</t>
  </si>
  <si>
    <t>naveen@gmail.com</t>
  </si>
  <si>
    <t>31-08-2026</t>
  </si>
  <si>
    <t>C028</t>
  </si>
  <si>
    <t>Shreya Jain</t>
  </si>
  <si>
    <t>shreya@gmail.com</t>
  </si>
  <si>
    <t>Not Available</t>
  </si>
  <si>
    <t>Kolkata</t>
  </si>
  <si>
    <t>Chennai</t>
  </si>
  <si>
    <t/>
  </si>
  <si>
    <t>Row Labels</t>
  </si>
  <si>
    <t>Grand Total</t>
  </si>
  <si>
    <t>Sum of Amount</t>
  </si>
  <si>
    <t>Total Sales</t>
  </si>
  <si>
    <t>Average Order Value</t>
  </si>
  <si>
    <t>Average of Amount</t>
  </si>
  <si>
    <t>Max of Amount</t>
  </si>
  <si>
    <t>Minimum of Amount</t>
  </si>
  <si>
    <t>Maximum Order Value</t>
  </si>
  <si>
    <t>Minimum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</si>
</sst>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439]#,##0"/>
    <numFmt numFmtId="166" formatCode="[$₹-4009]\ #,##0"/>
    <numFmt numFmtId="167" formatCode="_ [$₹-4009]\ * #,##0_ ;_ [$₹-4009]\ * \-#,##0_ ;_ [$₹-4009]\ * &quot;-&quot;_ ;_ @_ "/>
  </numFmts>
  <fonts count="5"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s>
  <fills count="7">
    <fill>
      <patternFill patternType="none"/>
    </fill>
    <fill>
      <patternFill patternType="gray125"/>
    </fill>
    <fill>
      <patternFill patternType="solid">
        <fgColor theme="5" tint="-0.49998474074526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14" fontId="0" fillId="0" borderId="0" xfId="0" applyNumberFormat="1" applyAlignment="1">
      <alignment vertical="center" wrapText="1"/>
    </xf>
    <xf numFmtId="164" fontId="0" fillId="0" borderId="0" xfId="0" applyNumberFormat="1" applyAlignment="1">
      <alignment vertical="center" wrapText="1"/>
    </xf>
    <xf numFmtId="0" fontId="1" fillId="2" borderId="0" xfId="0" applyFont="1" applyFill="1" applyAlignment="1">
      <alignment horizontal="center" vertical="center" wrapText="1"/>
    </xf>
    <xf numFmtId="165" fontId="0" fillId="0" borderId="0" xfId="0" applyNumberFormat="1" applyAlignment="1">
      <alignment vertical="center" wrapText="1"/>
    </xf>
    <xf numFmtId="0" fontId="0" fillId="0" borderId="0" xfId="0" pivotButton="1"/>
    <xf numFmtId="0" fontId="0" fillId="0" borderId="0" xfId="0" applyAlignment="1">
      <alignment horizontal="left"/>
    </xf>
    <xf numFmtId="166" fontId="0" fillId="0" borderId="0" xfId="0" applyNumberFormat="1"/>
    <xf numFmtId="0" fontId="2" fillId="3" borderId="0" xfId="0" applyFont="1" applyFill="1" applyAlignment="1">
      <alignment vertical="center"/>
    </xf>
    <xf numFmtId="167" fontId="4" fillId="3" borderId="0" xfId="0" applyNumberFormat="1" applyFont="1" applyFill="1" applyAlignment="1">
      <alignment vertical="center"/>
    </xf>
    <xf numFmtId="0" fontId="2" fillId="4" borderId="0" xfId="0" applyFont="1" applyFill="1" applyAlignment="1">
      <alignment horizontal="center"/>
    </xf>
    <xf numFmtId="167" fontId="4" fillId="4" borderId="0" xfId="0" applyNumberFormat="1" applyFont="1" applyFill="1"/>
    <xf numFmtId="0" fontId="2" fillId="5" borderId="0" xfId="0" applyFont="1" applyFill="1"/>
    <xf numFmtId="167" fontId="4" fillId="5" borderId="0" xfId="0" applyNumberFormat="1" applyFont="1" applyFill="1"/>
    <xf numFmtId="0" fontId="2" fillId="6" borderId="0" xfId="0" applyFont="1" applyFill="1"/>
    <xf numFmtId="0" fontId="0" fillId="6" borderId="0" xfId="0" applyFill="1"/>
    <xf numFmtId="167" fontId="4" fillId="6" borderId="0" xfId="0" applyNumberFormat="1" applyFont="1" applyFill="1"/>
    <xf numFmtId="0" fontId="0" fillId="0" borderId="0" xfId="0" applyNumberFormat="1"/>
    <xf numFmtId="0" fontId="0" fillId="0" borderId="0" xfId="0" applyAlignment="1">
      <alignment horizontal="center"/>
    </xf>
  </cellXfs>
  <cellStyles count="2">
    <cellStyle name="Hyperlink" xfId="1" builtinId="8"/>
    <cellStyle name="Normal" xfId="0" builtinId="0"/>
  </cellStyles>
  <dxfs count="7">
    <dxf>
      <numFmt numFmtId="165" formatCode="[$₹-439]#,##0"/>
      <alignment horizontal="general" vertical="center" textRotation="0" wrapText="1" indent="0" justifyLastLine="0" shrinkToFit="0" readingOrder="0"/>
    </dxf>
    <dxf>
      <numFmt numFmtId="16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[UPWORK_PROJECT.xlsx]Sheet3!PivotTable1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City WiseTotal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solidFill>
              <a:sysClr val="windowText" lastClr="000000"/>
            </a:solidFill>
          </a:ln>
          <a:effectLst/>
        </c:spPr>
      </c:pivotFmt>
      <c:pivotFmt>
        <c:idx val="2"/>
        <c:spPr>
          <a:solidFill>
            <a:schemeClr val="accent4"/>
          </a:solidFill>
          <a:ln>
            <a:solidFill>
              <a:sysClr val="windowText" lastClr="000000"/>
            </a:solidFill>
          </a:ln>
          <a:effectLst/>
        </c:spPr>
      </c:pivotFmt>
      <c:pivotFmt>
        <c:idx val="3"/>
        <c:spPr>
          <a:solidFill>
            <a:schemeClr val="accent3"/>
          </a:solidFill>
          <a:ln>
            <a:solidFill>
              <a:sysClr val="windowText" lastClr="000000"/>
            </a:solidFill>
          </a:ln>
          <a:effectLst/>
        </c:spPr>
      </c:pivotFmt>
      <c:pivotFmt>
        <c:idx val="4"/>
        <c:spPr>
          <a:solidFill>
            <a:schemeClr val="accent2"/>
          </a:solidFill>
          <a:ln>
            <a:solidFill>
              <a:sysClr val="windowText" lastClr="000000"/>
            </a:solidFill>
          </a:ln>
          <a:effectLst/>
        </c:spPr>
      </c:pivotFmt>
      <c:pivotFmt>
        <c:idx val="5"/>
        <c:spPr>
          <a:solidFill>
            <a:schemeClr val="accent5">
              <a:lumMod val="50000"/>
            </a:schemeClr>
          </a:solidFill>
          <a:ln>
            <a:noFill/>
          </a:ln>
          <a:effectLst/>
        </c:spPr>
      </c:pivotFmt>
      <c:pivotFmt>
        <c:idx val="6"/>
        <c:spPr>
          <a:solidFill>
            <a:srgbClr val="7030A0"/>
          </a:solidFill>
          <a:ln>
            <a:solidFill>
              <a:sysClr val="windowText" lastClr="000000"/>
            </a:solidFill>
          </a:ln>
          <a:effectLst/>
        </c:spPr>
      </c:pivotFmt>
      <c:pivotFmt>
        <c:idx val="7"/>
        <c:spPr>
          <a:solidFill>
            <a:schemeClr val="accent2"/>
          </a:solidFill>
          <a:ln>
            <a:solidFill>
              <a:sysClr val="windowText" lastClr="000000"/>
            </a:solid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6"/>
            </a:solidFill>
            <a:ln>
              <a:noFill/>
            </a:ln>
            <a:effectLst/>
          </c:spPr>
          <c:invertIfNegative val="0"/>
          <c:dPt>
            <c:idx val="0"/>
            <c:invertIfNegative val="0"/>
            <c:bubble3D val="0"/>
            <c:spPr>
              <a:solidFill>
                <a:schemeClr val="accent2"/>
              </a:solidFill>
              <a:ln>
                <a:solidFill>
                  <a:sysClr val="windowText" lastClr="000000"/>
                </a:solidFill>
              </a:ln>
              <a:effectLst/>
            </c:spPr>
            <c:extLst>
              <c:ext xmlns:c16="http://schemas.microsoft.com/office/drawing/2014/chart" uri="{C3380CC4-5D6E-409C-BE32-E72D297353CC}">
                <c16:uniqueId val="{00000008-9D75-4453-B3C0-54647134595B}"/>
              </c:ext>
            </c:extLst>
          </c:dPt>
          <c:dPt>
            <c:idx val="1"/>
            <c:invertIfNegative val="0"/>
            <c:bubble3D val="0"/>
            <c:spPr>
              <a:solidFill>
                <a:schemeClr val="accent5"/>
              </a:solidFill>
              <a:ln>
                <a:solidFill>
                  <a:sysClr val="windowText" lastClr="000000"/>
                </a:solidFill>
              </a:ln>
              <a:effectLst/>
            </c:spPr>
          </c:dPt>
          <c:dPt>
            <c:idx val="2"/>
            <c:invertIfNegative val="0"/>
            <c:bubble3D val="0"/>
            <c:spPr>
              <a:solidFill>
                <a:schemeClr val="accent4"/>
              </a:solidFill>
              <a:ln>
                <a:solidFill>
                  <a:sysClr val="windowText" lastClr="000000"/>
                </a:solidFill>
              </a:ln>
              <a:effectLst/>
            </c:spPr>
          </c:dPt>
          <c:dPt>
            <c:idx val="3"/>
            <c:invertIfNegative val="0"/>
            <c:bubble3D val="0"/>
            <c:spPr>
              <a:solidFill>
                <a:schemeClr val="accent3"/>
              </a:solidFill>
              <a:ln>
                <a:solidFill>
                  <a:sysClr val="windowText" lastClr="000000"/>
                </a:solidFill>
              </a:ln>
              <a:effectLst/>
            </c:spPr>
          </c:dPt>
          <c:dPt>
            <c:idx val="4"/>
            <c:invertIfNegative val="0"/>
            <c:bubble3D val="0"/>
            <c:spPr>
              <a:solidFill>
                <a:schemeClr val="accent2"/>
              </a:solidFill>
              <a:ln>
                <a:solidFill>
                  <a:sysClr val="windowText" lastClr="000000"/>
                </a:solidFill>
              </a:ln>
              <a:effectLst/>
            </c:spPr>
          </c:dPt>
          <c:dPt>
            <c:idx val="5"/>
            <c:invertIfNegative val="0"/>
            <c:bubble3D val="0"/>
            <c:spPr>
              <a:solidFill>
                <a:schemeClr val="accent5">
                  <a:lumMod val="50000"/>
                </a:schemeClr>
              </a:solidFill>
              <a:ln>
                <a:noFill/>
              </a:ln>
              <a:effectLst/>
            </c:spPr>
          </c:dPt>
          <c:dPt>
            <c:idx val="6"/>
            <c:invertIfNegative val="0"/>
            <c:bubble3D val="0"/>
            <c:spPr>
              <a:solidFill>
                <a:srgbClr val="7030A0"/>
              </a:solidFill>
              <a:ln>
                <a:solidFill>
                  <a:sysClr val="windowText" lastClr="000000"/>
                </a:solidFill>
              </a:ln>
              <a:effectLst/>
            </c:spPr>
          </c:dPt>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Sheet3!$A$4:$A$12</c:f>
              <c:strCache>
                <c:ptCount val="8"/>
                <c:pt idx="0">
                  <c:v>Delhi</c:v>
                </c:pt>
                <c:pt idx="1">
                  <c:v>Bangalore</c:v>
                </c:pt>
                <c:pt idx="2">
                  <c:v>Pune</c:v>
                </c:pt>
                <c:pt idx="3">
                  <c:v>Mumbai</c:v>
                </c:pt>
                <c:pt idx="4">
                  <c:v>Hyderabad</c:v>
                </c:pt>
                <c:pt idx="5">
                  <c:v>Kolkata</c:v>
                </c:pt>
                <c:pt idx="6">
                  <c:v>Chennai</c:v>
                </c:pt>
              </c:strCache>
            </c:strRef>
          </c:cat>
          <c:val>
            <c:numRef>
              <c:f>Sheet3!$B$4:$B$12</c:f>
              <c:numCache>
                <c:formatCode>General</c:formatCode>
                <c:ptCount val="8"/>
                <c:pt idx="0">
                  <c:v>22500</c:v>
                </c:pt>
                <c:pt idx="1">
                  <c:v>21100</c:v>
                </c:pt>
                <c:pt idx="2">
                  <c:v>13508</c:v>
                </c:pt>
                <c:pt idx="3">
                  <c:v>12800</c:v>
                </c:pt>
                <c:pt idx="4">
                  <c:v>12150</c:v>
                </c:pt>
                <c:pt idx="5">
                  <c:v>10000</c:v>
                </c:pt>
                <c:pt idx="6">
                  <c:v>7454</c:v>
                </c:pt>
              </c:numCache>
            </c:numRef>
          </c:val>
          <c:extLst>
            <c:ext xmlns:c16="http://schemas.microsoft.com/office/drawing/2014/chart" uri="{C3380CC4-5D6E-409C-BE32-E72D297353CC}">
              <c16:uniqueId val="{00000000-9D75-4453-B3C0-54647134595B}"/>
            </c:ext>
          </c:extLst>
        </c:ser>
        <c:dLbls>
          <c:dLblPos val="outEnd"/>
          <c:showLegendKey val="0"/>
          <c:showVal val="1"/>
          <c:showCatName val="0"/>
          <c:showSerName val="0"/>
          <c:showPercent val="0"/>
          <c:showBubbleSize val="0"/>
        </c:dLbls>
        <c:gapWidth val="219"/>
        <c:overlap val="-27"/>
        <c:axId val="752644175"/>
        <c:axId val="977860815"/>
      </c:barChart>
      <c:catAx>
        <c:axId val="75264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C00000"/>
                    </a:solidFill>
                  </a:rPr>
                  <a:t>City Name</a:t>
                </a:r>
              </a:p>
            </c:rich>
          </c:tx>
          <c:overlay val="0"/>
          <c:spPr>
            <a:no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7860815"/>
        <c:crosses val="autoZero"/>
        <c:auto val="1"/>
        <c:lblAlgn val="ctr"/>
        <c:lblOffset val="100"/>
        <c:noMultiLvlLbl val="0"/>
      </c:catAx>
      <c:valAx>
        <c:axId val="97786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C00000"/>
                    </a:solidFill>
                  </a:rPr>
                  <a:t>Sales Amount</a:t>
                </a:r>
              </a:p>
            </c:rich>
          </c:tx>
          <c:overlay val="0"/>
          <c:spPr>
            <a:noFill/>
            <a:ln>
              <a:solidFill>
                <a:schemeClr val="bg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[UPWORK_PROJECT.xlsx]Sheet3!PivotTable1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solidFill>
              <a:sysClr val="windowText" lastClr="000000"/>
            </a:solidFill>
          </a:ln>
          <a:effectLst/>
        </c:spPr>
      </c:pivotFmt>
      <c:pivotFmt>
        <c:idx val="2"/>
        <c:spPr>
          <a:solidFill>
            <a:schemeClr val="accent4"/>
          </a:solidFill>
          <a:ln>
            <a:solidFill>
              <a:sysClr val="windowText" lastClr="000000"/>
            </a:solidFill>
          </a:ln>
          <a:effectLst/>
        </c:spPr>
      </c:pivotFmt>
      <c:pivotFmt>
        <c:idx val="3"/>
        <c:spPr>
          <a:solidFill>
            <a:schemeClr val="accent3"/>
          </a:solidFill>
          <a:ln>
            <a:solidFill>
              <a:sysClr val="windowText" lastClr="000000"/>
            </a:solidFill>
          </a:ln>
          <a:effectLst/>
        </c:spPr>
      </c:pivotFmt>
      <c:pivotFmt>
        <c:idx val="4"/>
        <c:spPr>
          <a:solidFill>
            <a:schemeClr val="accent2"/>
          </a:solidFill>
          <a:ln>
            <a:solidFill>
              <a:sysClr val="windowText" lastClr="000000"/>
            </a:solidFill>
          </a:ln>
          <a:effectLst/>
        </c:spPr>
      </c:pivotFmt>
      <c:pivotFmt>
        <c:idx val="5"/>
        <c:spPr>
          <a:solidFill>
            <a:schemeClr val="accent5">
              <a:lumMod val="50000"/>
            </a:schemeClr>
          </a:solidFill>
          <a:ln>
            <a:noFill/>
          </a:ln>
          <a:effectLst/>
        </c:spPr>
      </c:pivotFmt>
      <c:pivotFmt>
        <c:idx val="6"/>
        <c:spPr>
          <a:solidFill>
            <a:srgbClr val="7030A0"/>
          </a:solidFill>
          <a:ln>
            <a:solidFill>
              <a:sysClr val="windowText" lastClr="000000"/>
            </a:solidFill>
          </a:ln>
          <a:effectLst/>
        </c:spPr>
      </c:pivotFmt>
      <c:pivotFmt>
        <c:idx val="7"/>
        <c:spPr>
          <a:solidFill>
            <a:schemeClr val="accent6"/>
          </a:solidFill>
          <a:ln>
            <a:solidFill>
              <a:sysClr val="windowText" lastClr="000000"/>
            </a:solidFill>
          </a:ln>
          <a:effectLst/>
        </c:spPr>
      </c:pivotFmt>
      <c:pivotFmt>
        <c:idx val="8"/>
        <c:spPr>
          <a:solidFill>
            <a:schemeClr val="accent6"/>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solidFill>
              <a:sysClr val="windowText" lastClr="000000"/>
            </a:solidFill>
          </a:ln>
          <a:effectLst/>
        </c:spPr>
      </c:pivotFmt>
      <c:pivotFmt>
        <c:idx val="10"/>
        <c:spPr>
          <a:solidFill>
            <a:schemeClr val="accent5"/>
          </a:solidFill>
          <a:ln>
            <a:solidFill>
              <a:sysClr val="windowText" lastClr="000000"/>
            </a:solidFill>
          </a:ln>
          <a:effectLst/>
        </c:spPr>
      </c:pivotFmt>
      <c:pivotFmt>
        <c:idx val="11"/>
        <c:spPr>
          <a:solidFill>
            <a:schemeClr val="accent4"/>
          </a:solidFill>
          <a:ln>
            <a:solidFill>
              <a:sysClr val="windowText" lastClr="000000"/>
            </a:solidFill>
          </a:ln>
          <a:effectLst/>
        </c:spPr>
      </c:pivotFmt>
      <c:pivotFmt>
        <c:idx val="12"/>
        <c:spPr>
          <a:solidFill>
            <a:schemeClr val="accent3"/>
          </a:solidFill>
          <a:ln>
            <a:solidFill>
              <a:sysClr val="windowText" lastClr="000000"/>
            </a:solidFill>
          </a:ln>
          <a:effectLst/>
        </c:spPr>
      </c:pivotFmt>
      <c:pivotFmt>
        <c:idx val="13"/>
        <c:spPr>
          <a:solidFill>
            <a:schemeClr val="accent2"/>
          </a:solidFill>
          <a:ln>
            <a:solidFill>
              <a:sysClr val="windowText" lastClr="000000"/>
            </a:solidFill>
          </a:ln>
          <a:effectLst/>
        </c:spPr>
      </c:pivotFmt>
      <c:pivotFmt>
        <c:idx val="14"/>
        <c:spPr>
          <a:solidFill>
            <a:schemeClr val="accent5">
              <a:lumMod val="50000"/>
            </a:schemeClr>
          </a:solidFill>
          <a:ln>
            <a:noFill/>
          </a:ln>
          <a:effectLst/>
        </c:spPr>
      </c:pivotFmt>
      <c:pivotFmt>
        <c:idx val="15"/>
        <c:spPr>
          <a:solidFill>
            <a:srgbClr val="7030A0"/>
          </a:solidFill>
          <a:ln>
            <a:solidFill>
              <a:sysClr val="windowText" lastClr="000000"/>
            </a:solidFill>
          </a:ln>
          <a:effectLst/>
        </c:spPr>
      </c:pivotFmt>
      <c:pivotFmt>
        <c:idx val="16"/>
        <c:spPr>
          <a:solidFill>
            <a:schemeClr val="accent1">
              <a:lumMod val="75000"/>
            </a:schemeClr>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solidFill>
              <a:sysClr val="windowText" lastClr="000000"/>
            </a:solidFill>
          </a:ln>
          <a:effectLst/>
        </c:spPr>
      </c:pivotFmt>
      <c:pivotFmt>
        <c:idx val="18"/>
        <c:spPr>
          <a:solidFill>
            <a:schemeClr val="accent1">
              <a:lumMod val="75000"/>
            </a:schemeClr>
          </a:solidFill>
          <a:ln>
            <a:solidFill>
              <a:sysClr val="windowText" lastClr="000000"/>
            </a:solidFill>
          </a:ln>
          <a:effectLst/>
        </c:spPr>
      </c:pivotFmt>
      <c:pivotFmt>
        <c:idx val="19"/>
        <c:spPr>
          <a:solidFill>
            <a:schemeClr val="accent1">
              <a:lumMod val="75000"/>
            </a:schemeClr>
          </a:solidFill>
          <a:ln>
            <a:solidFill>
              <a:sysClr val="windowText" lastClr="000000"/>
            </a:solidFill>
          </a:ln>
          <a:effectLst/>
        </c:spPr>
      </c:pivotFmt>
      <c:pivotFmt>
        <c:idx val="20"/>
        <c:spPr>
          <a:solidFill>
            <a:schemeClr val="accent1">
              <a:lumMod val="75000"/>
            </a:schemeClr>
          </a:solidFill>
          <a:ln>
            <a:solidFill>
              <a:sysClr val="windowText" lastClr="000000"/>
            </a:solidFill>
          </a:ln>
          <a:effectLst/>
        </c:spPr>
      </c:pivotFmt>
      <c:pivotFmt>
        <c:idx val="21"/>
        <c:spPr>
          <a:solidFill>
            <a:schemeClr val="accent1">
              <a:lumMod val="75000"/>
            </a:schemeClr>
          </a:solidFill>
          <a:ln>
            <a:solidFill>
              <a:sysClr val="windowText" lastClr="000000"/>
            </a:solidFill>
          </a:ln>
          <a:effectLst/>
        </c:spPr>
      </c:pivotFmt>
      <c:pivotFmt>
        <c:idx val="22"/>
        <c:spPr>
          <a:solidFill>
            <a:schemeClr val="accent1">
              <a:lumMod val="75000"/>
            </a:schemeClr>
          </a:solidFill>
          <a:ln>
            <a:noFill/>
          </a:ln>
          <a:effectLst/>
        </c:spPr>
      </c:pivotFmt>
      <c:pivotFmt>
        <c:idx val="23"/>
        <c:spPr>
          <a:solidFill>
            <a:schemeClr val="accent1">
              <a:lumMod val="75000"/>
            </a:schemeClr>
          </a:solidFill>
          <a:ln>
            <a:solidFill>
              <a:sysClr val="windowText" lastClr="000000"/>
            </a:solid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1-A196-4BF1-B567-E0C904335B13}"/>
              </c:ext>
            </c:extLst>
          </c:dPt>
          <c:dPt>
            <c:idx val="1"/>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3-A196-4BF1-B567-E0C904335B13}"/>
              </c:ext>
            </c:extLst>
          </c:dPt>
          <c:dPt>
            <c:idx val="2"/>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5-A196-4BF1-B567-E0C904335B13}"/>
              </c:ext>
            </c:extLst>
          </c:dPt>
          <c:dPt>
            <c:idx val="3"/>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7-A196-4BF1-B567-E0C904335B13}"/>
              </c:ext>
            </c:extLst>
          </c:dPt>
          <c:dPt>
            <c:idx val="4"/>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9-A196-4BF1-B567-E0C904335B13}"/>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B-A196-4BF1-B567-E0C904335B13}"/>
              </c:ext>
            </c:extLst>
          </c:dPt>
          <c:dPt>
            <c:idx val="6"/>
            <c:invertIfNegative val="0"/>
            <c:bubble3D val="0"/>
            <c:spPr>
              <a:solidFill>
                <a:schemeClr val="accent1">
                  <a:lumMod val="75000"/>
                </a:schemeClr>
              </a:solidFill>
              <a:ln>
                <a:solidFill>
                  <a:sysClr val="windowText" lastClr="000000"/>
                </a:solidFill>
              </a:ln>
              <a:effectLst/>
            </c:spPr>
            <c:extLst>
              <c:ext xmlns:c16="http://schemas.microsoft.com/office/drawing/2014/chart" uri="{C3380CC4-5D6E-409C-BE32-E72D297353CC}">
                <c16:uniqueId val="{0000000D-A196-4BF1-B567-E0C904335B13}"/>
              </c:ext>
            </c:extLst>
          </c:dPt>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Sheet3!$A$4:$A$12</c:f>
              <c:strCache>
                <c:ptCount val="8"/>
                <c:pt idx="0">
                  <c:v>Delhi</c:v>
                </c:pt>
                <c:pt idx="1">
                  <c:v>Bangalore</c:v>
                </c:pt>
                <c:pt idx="2">
                  <c:v>Pune</c:v>
                </c:pt>
                <c:pt idx="3">
                  <c:v>Mumbai</c:v>
                </c:pt>
                <c:pt idx="4">
                  <c:v>Hyderabad</c:v>
                </c:pt>
                <c:pt idx="5">
                  <c:v>Kolkata</c:v>
                </c:pt>
                <c:pt idx="6">
                  <c:v>Chennai</c:v>
                </c:pt>
              </c:strCache>
            </c:strRef>
          </c:cat>
          <c:val>
            <c:numRef>
              <c:f>Sheet3!$B$4:$B$12</c:f>
              <c:numCache>
                <c:formatCode>General</c:formatCode>
                <c:ptCount val="8"/>
                <c:pt idx="0">
                  <c:v>22500</c:v>
                </c:pt>
                <c:pt idx="1">
                  <c:v>21100</c:v>
                </c:pt>
                <c:pt idx="2">
                  <c:v>13508</c:v>
                </c:pt>
                <c:pt idx="3">
                  <c:v>12800</c:v>
                </c:pt>
                <c:pt idx="4">
                  <c:v>12150</c:v>
                </c:pt>
                <c:pt idx="5">
                  <c:v>10000</c:v>
                </c:pt>
                <c:pt idx="6">
                  <c:v>7454</c:v>
                </c:pt>
              </c:numCache>
            </c:numRef>
          </c:val>
          <c:extLst>
            <c:ext xmlns:c16="http://schemas.microsoft.com/office/drawing/2014/chart" uri="{C3380CC4-5D6E-409C-BE32-E72D297353CC}">
              <c16:uniqueId val="{0000000E-A196-4BF1-B567-E0C904335B13}"/>
            </c:ext>
          </c:extLst>
        </c:ser>
        <c:dLbls>
          <c:dLblPos val="outEnd"/>
          <c:showLegendKey val="0"/>
          <c:showVal val="1"/>
          <c:showCatName val="0"/>
          <c:showSerName val="0"/>
          <c:showPercent val="0"/>
          <c:showBubbleSize val="0"/>
        </c:dLbls>
        <c:gapWidth val="219"/>
        <c:overlap val="-27"/>
        <c:axId val="752644175"/>
        <c:axId val="977860815"/>
      </c:barChart>
      <c:catAx>
        <c:axId val="75264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C00000"/>
                    </a:solidFill>
                  </a:rPr>
                  <a:t>City </a:t>
                </a:r>
              </a:p>
            </c:rich>
          </c:tx>
          <c:overlay val="0"/>
          <c:spPr>
            <a:no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7860815"/>
        <c:crosses val="autoZero"/>
        <c:auto val="1"/>
        <c:lblAlgn val="ctr"/>
        <c:lblOffset val="100"/>
        <c:noMultiLvlLbl val="0"/>
      </c:catAx>
      <c:valAx>
        <c:axId val="97786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solidFill>
                      <a:srgbClr val="C00000"/>
                    </a:solidFill>
                  </a:rPr>
                  <a:t>Sales</a:t>
                </a:r>
                <a:r>
                  <a:rPr lang="en-US" sz="1200" b="1" i="0" u="none" strike="noStrike" baseline="0"/>
                  <a:t> (₹) </a:t>
                </a:r>
                <a:endParaRPr lang="en-US" sz="1200" b="1">
                  <a:solidFill>
                    <a:srgbClr val="C00000"/>
                  </a:solidFill>
                </a:endParaRPr>
              </a:p>
            </c:rich>
          </c:tx>
          <c:overlay val="0"/>
          <c:spPr>
            <a:noFill/>
            <a:ln>
              <a:solidFill>
                <a:schemeClr val="bg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144780</xdr:colOff>
      <xdr:row>1</xdr:row>
      <xdr:rowOff>148590</xdr:rowOff>
    </xdr:from>
    <xdr:to>
      <xdr:col>10</xdr:col>
      <xdr:colOff>594360</xdr:colOff>
      <xdr:row>20</xdr:row>
      <xdr:rowOff>15240</xdr:rowOff>
    </xdr:to>
    <xdr:graphicFrame macro="">
      <xdr:nvGraphicFramePr>
        <xdr:cNvPr id="2" name="Chart 1">
          <a:extLst>
            <a:ext uri="{FF2B5EF4-FFF2-40B4-BE49-F238E27FC236}">
              <a16:creationId xmlns:a16="http://schemas.microsoft.com/office/drawing/2014/main" id="{07DA9B22-1E15-ED0A-0DE5-A7B3BB00F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470083</xdr:colOff>
      <xdr:row>5</xdr:row>
      <xdr:rowOff>57897</xdr:rowOff>
    </xdr:from>
    <xdr:to>
      <xdr:col>6</xdr:col>
      <xdr:colOff>342586</xdr:colOff>
      <xdr:row>23</xdr:row>
      <xdr:rowOff>105228</xdr:rowOff>
    </xdr:to>
    <xdr:graphicFrame macro="">
      <xdr:nvGraphicFramePr>
        <xdr:cNvPr id="2" name="Chart 1">
          <a:extLst>
            <a:ext uri="{FF2B5EF4-FFF2-40B4-BE49-F238E27FC236}">
              <a16:creationId xmlns:a16="http://schemas.microsoft.com/office/drawing/2014/main" id="{D281BE90-7708-4FD4-99E8-7576B07B9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52868</xdr:colOff>
      <xdr:row>4</xdr:row>
      <xdr:rowOff>62846</xdr:rowOff>
    </xdr:from>
    <xdr:to>
      <xdr:col>8</xdr:col>
      <xdr:colOff>594910</xdr:colOff>
      <xdr:row>17</xdr:row>
      <xdr:rowOff>152380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909C35FC-4669-A39D-DD3C-4DDC8B79A6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133157" y="1194062"/>
              <a:ext cx="1838227" cy="243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54518</xdr:colOff>
      <xdr:row>18</xdr:row>
      <xdr:rowOff>101889</xdr:rowOff>
    </xdr:from>
    <xdr:to>
      <xdr:col>11</xdr:col>
      <xdr:colOff>273378</xdr:colOff>
      <xdr:row>26</xdr:row>
      <xdr:rowOff>12648</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843B7A93-78F3-BA9D-533C-801C28E155F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134807" y="3762631"/>
              <a:ext cx="3353272" cy="13562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3</xdr:col>
      <xdr:colOff>1008511</xdr:colOff>
      <xdr:row>0</xdr:row>
      <xdr:rowOff>28123</xdr:rowOff>
    </xdr:from>
    <xdr:ext cx="3529299" cy="405432"/>
    <xdr:sp macro="" textlink="">
      <xdr:nvSpPr>
        <xdr:cNvPr id="5" name="TextBox 4">
          <a:extLst>
            <a:ext uri="{FF2B5EF4-FFF2-40B4-BE49-F238E27FC236}">
              <a16:creationId xmlns:a16="http://schemas.microsoft.com/office/drawing/2014/main" id="{51DA2822-D83B-0C04-1F7F-EEAEC6130A80}"/>
            </a:ext>
          </a:extLst>
        </xdr:cNvPr>
        <xdr:cNvSpPr txBox="1"/>
      </xdr:nvSpPr>
      <xdr:spPr>
        <a:xfrm>
          <a:off x="3286655" y="28123"/>
          <a:ext cx="3529299"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CUSTOMER SALES DASHBOARD</a:t>
          </a:r>
        </a:p>
      </xdr:txBody>
    </xdr:sp>
    <xdr:clientData/>
  </xdr:oneCellAnchor>
  <xdr:oneCellAnchor>
    <xdr:from>
      <xdr:col>9</xdr:col>
      <xdr:colOff>471341</xdr:colOff>
      <xdr:row>5</xdr:row>
      <xdr:rowOff>23567</xdr:rowOff>
    </xdr:from>
    <xdr:ext cx="2699137" cy="436786"/>
    <xdr:sp macro="" textlink="">
      <xdr:nvSpPr>
        <xdr:cNvPr id="6" name="TextBox 5">
          <a:extLst>
            <a:ext uri="{FF2B5EF4-FFF2-40B4-BE49-F238E27FC236}">
              <a16:creationId xmlns:a16="http://schemas.microsoft.com/office/drawing/2014/main" id="{804A7C7B-6E3C-F708-3A28-55F672DB4406}"/>
            </a:ext>
          </a:extLst>
        </xdr:cNvPr>
        <xdr:cNvSpPr txBox="1"/>
      </xdr:nvSpPr>
      <xdr:spPr>
        <a:xfrm>
          <a:off x="8460557" y="1335464"/>
          <a:ext cx="269913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rgbClr val="C00000"/>
              </a:solidFill>
            </a:rPr>
            <a:t>Highest Sales: </a:t>
          </a:r>
        </a:p>
        <a:p>
          <a:r>
            <a:rPr lang="en-US"/>
            <a:t>Delhi recorded the highest sales at ₹22,500.</a:t>
          </a:r>
          <a:endParaRPr lang="en-US" sz="1100"/>
        </a:p>
      </xdr:txBody>
    </xdr:sp>
    <xdr:clientData/>
  </xdr:oneCellAnchor>
  <xdr:oneCellAnchor>
    <xdr:from>
      <xdr:col>9</xdr:col>
      <xdr:colOff>439918</xdr:colOff>
      <xdr:row>6</xdr:row>
      <xdr:rowOff>109980</xdr:rowOff>
    </xdr:from>
    <xdr:ext cx="184731" cy="264560"/>
    <xdr:sp macro="" textlink="">
      <xdr:nvSpPr>
        <xdr:cNvPr id="7" name="TextBox 6">
          <a:extLst>
            <a:ext uri="{FF2B5EF4-FFF2-40B4-BE49-F238E27FC236}">
              <a16:creationId xmlns:a16="http://schemas.microsoft.com/office/drawing/2014/main" id="{67492F66-5BCF-F3D3-5542-CF76D99F07CA}"/>
            </a:ext>
          </a:extLst>
        </xdr:cNvPr>
        <xdr:cNvSpPr txBox="1"/>
      </xdr:nvSpPr>
      <xdr:spPr>
        <a:xfrm>
          <a:off x="8429134" y="1602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455629</xdr:colOff>
      <xdr:row>7</xdr:row>
      <xdr:rowOff>70700</xdr:rowOff>
    </xdr:from>
    <xdr:ext cx="2760051" cy="436786"/>
    <xdr:sp macro="" textlink="">
      <xdr:nvSpPr>
        <xdr:cNvPr id="8" name="TextBox 7">
          <a:extLst>
            <a:ext uri="{FF2B5EF4-FFF2-40B4-BE49-F238E27FC236}">
              <a16:creationId xmlns:a16="http://schemas.microsoft.com/office/drawing/2014/main" id="{4F97EBF1-7467-2025-D05D-C68161ADEEAB}"/>
            </a:ext>
          </a:extLst>
        </xdr:cNvPr>
        <xdr:cNvSpPr txBox="1"/>
      </xdr:nvSpPr>
      <xdr:spPr>
        <a:xfrm>
          <a:off x="8444845" y="1743958"/>
          <a:ext cx="276005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rgbClr val="C00000"/>
              </a:solidFill>
            </a:rPr>
            <a:t>Lowest Sales:</a:t>
          </a:r>
          <a:br>
            <a:rPr lang="en-US"/>
          </a:br>
          <a:r>
            <a:rPr lang="en-US"/>
            <a:t>Chennai recorded the lowest sales at ₹7,454.</a:t>
          </a:r>
          <a:endParaRPr lang="en-US" sz="1100"/>
        </a:p>
      </xdr:txBody>
    </xdr:sp>
    <xdr:clientData/>
  </xdr:oneCellAnchor>
  <xdr:oneCellAnchor>
    <xdr:from>
      <xdr:col>11</xdr:col>
      <xdr:colOff>133546</xdr:colOff>
      <xdr:row>3</xdr:row>
      <xdr:rowOff>109979</xdr:rowOff>
    </xdr:from>
    <xdr:ext cx="1024319" cy="452432"/>
    <xdr:sp macro="" textlink="">
      <xdr:nvSpPr>
        <xdr:cNvPr id="9" name="TextBox 8">
          <a:extLst>
            <a:ext uri="{FF2B5EF4-FFF2-40B4-BE49-F238E27FC236}">
              <a16:creationId xmlns:a16="http://schemas.microsoft.com/office/drawing/2014/main" id="{70304137-B16C-C053-2F1E-A1349D7328AD}"/>
            </a:ext>
          </a:extLst>
        </xdr:cNvPr>
        <xdr:cNvSpPr txBox="1"/>
      </xdr:nvSpPr>
      <xdr:spPr>
        <a:xfrm>
          <a:off x="9348247" y="974103"/>
          <a:ext cx="1024319"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rgbClr val="C00000"/>
              </a:solidFill>
              <a:effectLst/>
              <a:latin typeface="+mn-lt"/>
              <a:ea typeface="+mn-ea"/>
              <a:cs typeface="+mn-cs"/>
            </a:rPr>
            <a:t>Key Insights: </a:t>
          </a:r>
          <a:endParaRPr lang="en-US" sz="1200" u="sng">
            <a:solidFill>
              <a:srgbClr val="C00000"/>
            </a:solidFill>
            <a:effectLst/>
          </a:endParaRPr>
        </a:p>
        <a:p>
          <a:endParaRPr lang="en-US" sz="1100"/>
        </a:p>
      </xdr:txBody>
    </xdr:sp>
    <xdr:clientData/>
  </xdr:oneCellAnchor>
  <xdr:oneCellAnchor>
    <xdr:from>
      <xdr:col>9</xdr:col>
      <xdr:colOff>455630</xdr:colOff>
      <xdr:row>9</xdr:row>
      <xdr:rowOff>141401</xdr:rowOff>
    </xdr:from>
    <xdr:ext cx="3093539" cy="609013"/>
    <xdr:sp macro="" textlink="">
      <xdr:nvSpPr>
        <xdr:cNvPr id="10" name="TextBox 9">
          <a:extLst>
            <a:ext uri="{FF2B5EF4-FFF2-40B4-BE49-F238E27FC236}">
              <a16:creationId xmlns:a16="http://schemas.microsoft.com/office/drawing/2014/main" id="{FEC04B69-29D8-C269-DDA2-A83090319452}"/>
            </a:ext>
          </a:extLst>
        </xdr:cNvPr>
        <xdr:cNvSpPr txBox="1"/>
      </xdr:nvSpPr>
      <xdr:spPr>
        <a:xfrm>
          <a:off x="8444846" y="2176020"/>
          <a:ext cx="3093539"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rgbClr val="C00000"/>
              </a:solidFill>
            </a:rPr>
            <a:t>Top 2 Cities:</a:t>
          </a:r>
          <a:br>
            <a:rPr lang="en-US"/>
          </a:br>
          <a:r>
            <a:rPr lang="en-US"/>
            <a:t>Delhi and Bangalore are the top-performing cities, </a:t>
          </a:r>
        </a:p>
        <a:p>
          <a:r>
            <a:rPr lang="en-US"/>
            <a:t>contributing ₹43,600 in combined sales.</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Sharma" refreshedDate="46270.989290509257" createdVersion="8" refreshedVersion="8" minRefreshableVersion="3" recordCount="30" xr:uid="{FC12F771-267C-4D14-9BAC-A7DF804C2913}">
  <cacheSource type="worksheet">
    <worksheetSource name="CustomerOrder"/>
  </cacheSource>
  <cacheFields count="6">
    <cacheField name="Customer_ID" numFmtId="0">
      <sharedItems containsBlank="1"/>
    </cacheField>
    <cacheField name="Customer_Name" numFmtId="0">
      <sharedItems containsBlank="1"/>
    </cacheField>
    <cacheField name="City" numFmtId="0">
      <sharedItems count="8">
        <s v="Bangalore"/>
        <s v="Delhi"/>
        <s v="Mumbai"/>
        <s v="Pune"/>
        <s v="Kolkata"/>
        <s v="Hyderabad"/>
        <s v="Chennai"/>
        <s v=""/>
      </sharedItems>
    </cacheField>
    <cacheField name="Email" numFmtId="0">
      <sharedItems containsBlank="1"/>
    </cacheField>
    <cacheField name="Order_Date" numFmtId="0">
      <sharedItems containsNonDate="0" containsDate="1" containsString="0" containsBlank="1" minDate="2026-08-05T00:00:00" maxDate="2026-09-02T00:00:00" count="29">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m/>
      </sharedItems>
    </cacheField>
    <cacheField name="Amount" numFmtId="0">
      <sharedItems containsString="0" containsBlank="1" containsNumber="1" containsInteger="1" minValue="1800" maxValue="5500"/>
    </cacheField>
  </cacheFields>
  <extLst>
    <ext xmlns:x14="http://schemas.microsoft.com/office/spreadsheetml/2009/9/main" uri="{725AE2AE-9491-48be-B2B4-4EB974FC3084}">
      <x14:pivotCacheDefinition pivotCacheId="77208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C001"/>
    <s v="Rahul Sharma"/>
    <x v="0"/>
    <s v="rahul@gmail.com"/>
    <x v="0"/>
    <n v="2500"/>
  </r>
  <r>
    <s v="C002"/>
    <s v="Priya Singh"/>
    <x v="1"/>
    <s v="priya@gmail.com"/>
    <x v="1"/>
    <n v="3200"/>
  </r>
  <r>
    <s v="C003"/>
    <s v="Amit Kumar"/>
    <x v="2"/>
    <s v="amit@gmail.com"/>
    <x v="2"/>
    <n v="1800"/>
  </r>
  <r>
    <s v="C004"/>
    <s v="Neha Verma"/>
    <x v="0"/>
    <s v="neha@gmail.com"/>
    <x v="3"/>
    <n v="4500"/>
  </r>
  <r>
    <s v="C005"/>
    <s v="Rohit Gupta"/>
    <x v="3"/>
    <s v="Not Available"/>
    <x v="4"/>
    <n v="2100"/>
  </r>
  <r>
    <s v="C006"/>
    <s v="Sneha Roy"/>
    <x v="1"/>
    <s v="sneha@gmail.com"/>
    <x v="5"/>
    <n v="3500"/>
  </r>
  <r>
    <s v="C007"/>
    <s v="Arjun Mehta"/>
    <x v="3"/>
    <s v="arjun@gmail.com"/>
    <x v="6"/>
    <n v="3554"/>
  </r>
  <r>
    <s v="C008"/>
    <s v="Pooja Shah"/>
    <x v="0"/>
    <s v="pooja@gmail.com"/>
    <x v="7"/>
    <n v="2900"/>
  </r>
  <r>
    <s v="C009"/>
    <s v="Karan Patel"/>
    <x v="2"/>
    <s v="karan@gmail.com"/>
    <x v="8"/>
    <n v="3800"/>
  </r>
  <r>
    <s v="C010"/>
    <s v="Anjali Das"/>
    <x v="4"/>
    <s v="anjali@gmail.com"/>
    <x v="9"/>
    <n v="4200"/>
  </r>
  <r>
    <s v="C011"/>
    <s v="Vikash Yadav"/>
    <x v="5"/>
    <s v="vikash@gmail.com"/>
    <x v="10"/>
    <n v="2700"/>
  </r>
  <r>
    <s v="C012"/>
    <s v="Riya Kapoor"/>
    <x v="1"/>
    <s v="riya@gmail.com"/>
    <x v="11"/>
    <n v="5100"/>
  </r>
  <r>
    <s v="C013"/>
    <s v="Manish Jain"/>
    <x v="0"/>
    <s v="manish@gmail.com"/>
    <x v="12"/>
    <n v="3300"/>
  </r>
  <r>
    <s v="C014"/>
    <s v="Kavita Rao"/>
    <x v="5"/>
    <s v="Not Available"/>
    <x v="13"/>
    <n v="2800"/>
  </r>
  <r>
    <s v="C015"/>
    <s v="Deepak Sinha"/>
    <x v="3"/>
    <s v="deepak@gmail.com"/>
    <x v="14"/>
    <n v="3554"/>
  </r>
  <r>
    <s v="C016"/>
    <s v="Meera Nair"/>
    <x v="6"/>
    <s v="meera@gmail.com"/>
    <x v="15"/>
    <n v="3900"/>
  </r>
  <r>
    <s v="C017"/>
    <s v="Suresh Kumar"/>
    <x v="2"/>
    <s v="suresh@gmail.com"/>
    <x v="16"/>
    <n v="4600"/>
  </r>
  <r>
    <s v="C018"/>
    <s v="Nisha Gupta"/>
    <x v="4"/>
    <s v="nisha@gmail.com"/>
    <x v="17"/>
    <n v="2400"/>
  </r>
  <r>
    <s v="C019"/>
    <s v="Raj Malhotra"/>
    <x v="1"/>
    <s v="raj@gmail.com"/>
    <x v="18"/>
    <n v="5500"/>
  </r>
  <r>
    <s v="C020"/>
    <s v="Simran Kaur"/>
    <x v="0"/>
    <s v="simran@gmail.com"/>
    <x v="19"/>
    <n v="3100"/>
  </r>
  <r>
    <s v="C021"/>
    <s v="Mohit Sharma"/>
    <x v="5"/>
    <s v="mohit@gmail.com"/>
    <x v="20"/>
    <n v="3700"/>
  </r>
  <r>
    <s v="C022"/>
    <s v="Aarti Singh"/>
    <x v="6"/>
    <s v="aarti@gmail.com"/>
    <x v="21"/>
    <n v="3554"/>
  </r>
  <r>
    <s v="C023"/>
    <s v="Varun Verma"/>
    <x v="3"/>
    <s v="varun@gmail.com"/>
    <x v="22"/>
    <n v="4300"/>
  </r>
  <r>
    <s v="C024"/>
    <s v="Sonali Roy"/>
    <x v="2"/>
    <s v="Not Available"/>
    <x v="23"/>
    <n v="2600"/>
  </r>
  <r>
    <s v="C025"/>
    <s v="Akash Mehta"/>
    <x v="0"/>
    <s v="akash@gmail.com"/>
    <x v="24"/>
    <n v="4800"/>
  </r>
  <r>
    <s v="C026"/>
    <s v="Divya Patel"/>
    <x v="4"/>
    <s v="divya@gmail.com"/>
    <x v="25"/>
    <n v="3400"/>
  </r>
  <r>
    <s v="C027"/>
    <s v="Naveen Rao"/>
    <x v="5"/>
    <s v="naveen@gmail.com"/>
    <x v="26"/>
    <n v="2950"/>
  </r>
  <r>
    <s v="C028"/>
    <s v="Shreya Jain"/>
    <x v="1"/>
    <s v="shreya@gmail.com"/>
    <x v="27"/>
    <n v="5200"/>
  </r>
  <r>
    <m/>
    <m/>
    <x v="7"/>
    <m/>
    <x v="28"/>
    <m/>
  </r>
  <r>
    <m/>
    <m/>
    <x v="7"/>
    <m/>
    <x v="2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88563-10E0-41F2-B723-85A6C9310D27}"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3:A24" firstHeaderRow="1" firstDataRow="1" firstDataCol="0"/>
  <pivotFields count="6">
    <pivotField showAll="0"/>
    <pivotField showAll="0"/>
    <pivotField showAll="0">
      <items count="9">
        <item x="7"/>
        <item x="0"/>
        <item x="6"/>
        <item x="1"/>
        <item x="5"/>
        <item x="4"/>
        <item x="2"/>
        <item x="3"/>
        <item t="default"/>
      </items>
    </pivotField>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pivotFields>
  <rowItems count="1">
    <i/>
  </rowItems>
  <colItems count="1">
    <i/>
  </colItems>
  <dataFields count="1">
    <dataField name="Average of Amount" fld="5"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D5BEC-7BFC-42BC-AAAC-19A7EDF69245}"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2" firstHeaderRow="1" firstDataRow="1" firstDataCol="1"/>
  <pivotFields count="6">
    <pivotField showAll="0"/>
    <pivotField showAll="0"/>
    <pivotField axis="axisRow" showAll="0" sortType="descending">
      <items count="9">
        <item x="7"/>
        <item x="0"/>
        <item x="6"/>
        <item x="1"/>
        <item x="5"/>
        <item x="4"/>
        <item x="2"/>
        <item x="3"/>
        <item t="default"/>
      </items>
      <autoSortScope>
        <pivotArea dataOnly="0" outline="0" fieldPosition="0">
          <references count="1">
            <reference field="4294967294" count="1" selected="0">
              <x v="0"/>
            </reference>
          </references>
        </pivotArea>
      </autoSortScope>
    </pivotField>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pivotFields>
  <rowFields count="1">
    <field x="2"/>
  </rowFields>
  <rowItems count="9">
    <i>
      <x v="3"/>
    </i>
    <i>
      <x v="1"/>
    </i>
    <i>
      <x v="7"/>
    </i>
    <i>
      <x v="6"/>
    </i>
    <i>
      <x v="4"/>
    </i>
    <i>
      <x v="5"/>
    </i>
    <i>
      <x v="2"/>
    </i>
    <i>
      <x/>
    </i>
    <i t="grand">
      <x/>
    </i>
  </rowItems>
  <colItems count="1">
    <i/>
  </colItems>
  <dataFields count="1">
    <dataField name="Sum of Amount" fld="5"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7"/>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0" format="7">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7"/>
          </reference>
        </references>
      </pivotArea>
    </chartFormat>
    <chartFormat chart="3" format="12">
      <pivotArea type="data" outline="0" fieldPosition="0">
        <references count="2">
          <reference field="4294967294" count="1" selected="0">
            <x v="0"/>
          </reference>
          <reference field="2" count="1" selected="0">
            <x v="6"/>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3"/>
          </reference>
        </references>
      </pivotArea>
    </chartFormat>
    <chartFormat chart="4" format="18">
      <pivotArea type="data" outline="0" fieldPosition="0">
        <references count="2">
          <reference field="4294967294" count="1" selected="0">
            <x v="0"/>
          </reference>
          <reference field="2" count="1" selected="0">
            <x v="1"/>
          </reference>
        </references>
      </pivotArea>
    </chartFormat>
    <chartFormat chart="4" format="19">
      <pivotArea type="data" outline="0" fieldPosition="0">
        <references count="2">
          <reference field="4294967294" count="1" selected="0">
            <x v="0"/>
          </reference>
          <reference field="2" count="1" selected="0">
            <x v="7"/>
          </reference>
        </references>
      </pivotArea>
    </chartFormat>
    <chartFormat chart="4" format="20">
      <pivotArea type="data" outline="0" fieldPosition="0">
        <references count="2">
          <reference field="4294967294" count="1" selected="0">
            <x v="0"/>
          </reference>
          <reference field="2" count="1" selected="0">
            <x v="6"/>
          </reference>
        </references>
      </pivotArea>
    </chartFormat>
    <chartFormat chart="4" format="21">
      <pivotArea type="data" outline="0" fieldPosition="0">
        <references count="2">
          <reference field="4294967294" count="1" selected="0">
            <x v="0"/>
          </reference>
          <reference field="2" count="1" selected="0">
            <x v="4"/>
          </reference>
        </references>
      </pivotArea>
    </chartFormat>
    <chartFormat chart="4" format="22">
      <pivotArea type="data" outline="0" fieldPosition="0">
        <references count="2">
          <reference field="4294967294" count="1" selected="0">
            <x v="0"/>
          </reference>
          <reference field="2" count="1" selected="0">
            <x v="5"/>
          </reference>
        </references>
      </pivotArea>
    </chartFormat>
    <chartFormat chart="4" format="2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ADCA5D-F359-440A-827F-EBF487A9E76B}"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0:A31" firstHeaderRow="1" firstDataRow="1" firstDataCol="0"/>
  <pivotFields count="6">
    <pivotField showAll="0"/>
    <pivotField showAll="0"/>
    <pivotField showAll="0">
      <items count="9">
        <item x="7"/>
        <item x="0"/>
        <item x="6"/>
        <item x="1"/>
        <item x="5"/>
        <item x="4"/>
        <item x="2"/>
        <item x="3"/>
        <item t="default"/>
      </items>
    </pivotField>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pivotFields>
  <rowItems count="1">
    <i/>
  </rowItems>
  <colItems count="1">
    <i/>
  </colItems>
  <dataFields count="1">
    <dataField name="Minimum of Amount" fld="5" subtotal="min"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AF5099-5091-4EF9-93C5-E00CA14B2337}"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7:A28" firstHeaderRow="1" firstDataRow="1" firstDataCol="0"/>
  <pivotFields count="6">
    <pivotField showAll="0"/>
    <pivotField showAll="0"/>
    <pivotField showAll="0">
      <items count="9">
        <item x="7"/>
        <item x="0"/>
        <item x="6"/>
        <item x="1"/>
        <item x="5"/>
        <item x="4"/>
        <item x="2"/>
        <item x="3"/>
        <item t="default"/>
      </items>
    </pivotField>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pivotFields>
  <rowItems count="1">
    <i/>
  </rowItems>
  <colItems count="1">
    <i/>
  </colItems>
  <dataFields count="1">
    <dataField name="Max of Amount" fld="5" subtotal="max"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7E643C-31B7-44DA-947B-FB05713C0518}" sourceName="City">
  <pivotTables>
    <pivotTable tabId="3" name="PivotTable1"/>
    <pivotTable tabId="3" name="PivotTable2"/>
    <pivotTable tabId="3" name="PivotTable4"/>
    <pivotTable tabId="3" name="PivotTable5"/>
  </pivotTables>
  <data>
    <tabular pivotCacheId="77208067">
      <items count="8">
        <i x="0" s="1"/>
        <i x="6" s="1"/>
        <i x="1" s="1"/>
        <i x="5" s="1"/>
        <i x="4" s="1"/>
        <i x="2" s="1"/>
        <i x="3"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B6360AC-D5F6-4C6C-BB1E-22BA092BED40}"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09F18-4BDB-410F-A00A-95689CF86BBF}" name="CustomerOrder" displayName="CustomerOrder" ref="A1:F31" totalsRowShown="0" headerRowDxfId="6">
  <autoFilter ref="A1:F31" xr:uid="{89F09F18-4BDB-410F-A00A-95689CF86BBF}"/>
  <tableColumns count="6">
    <tableColumn id="1" xr3:uid="{7F21C128-C146-41D1-9842-EAEC350E4F03}" name="Customer_ID" dataDxfId="5"/>
    <tableColumn id="2" xr3:uid="{0EB66FAB-B2D5-4005-BB94-2C5F785652B9}" name="Customer_Name" dataDxfId="4"/>
    <tableColumn id="3" xr3:uid="{B9EF4A95-52ED-44C4-9E79-066BF1398819}" name="City" dataDxfId="3"/>
    <tableColumn id="4" xr3:uid="{F3B44852-3644-4105-9222-95067C17D23E}" name="Email" dataDxfId="2" dataCellStyle="Hyperlink"/>
    <tableColumn id="5" xr3:uid="{50CBE113-50CF-4E3C-9635-C5323E0D92E9}" name="Order_Date" dataDxfId="1"/>
    <tableColumn id="6" xr3:uid="{7F9DE5B7-7B2E-48B8-8316-91749277B77A}"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450FD72-0EB1-47B3-AED5-CAB171C524C3}" sourceName="Order_Date">
  <pivotTables>
    <pivotTable tabId="3" name="PivotTable1"/>
    <pivotTable tabId="3" name="PivotTable2"/>
    <pivotTable tabId="3" name="PivotTable4"/>
    <pivotTable tabId="3" name="PivotTable5"/>
  </pivotTables>
  <state minimalRefreshVersion="6" lastRefreshVersion="6" pivotCacheId="7720806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B32B95-D41D-4C5A-9DC7-9A887B459F77}" cache="NativeTimeline_Order_Date" caption="Order Date" level="2" selectionLevel="2" scrollPosition="2026-02-01T00:00:00"/>
</timelines>
</file>

<file path=xl/worksheets/_rels/sheet1.xml.rels><?xml version="1.0" encoding="UTF-8" standalone="yes"?>
<Relationships xmlns="http://schemas.openxmlformats.org/package/2006/relationships"><Relationship Id="rId8" Type="http://schemas.openxmlformats.org/officeDocument/2006/relationships/hyperlink" Target="mailto:pooja@gmail.com" TargetMode="External"/><Relationship Id="rId13" Type="http://schemas.openxmlformats.org/officeDocument/2006/relationships/hyperlink" Target="mailto:manish@gmail.com" TargetMode="External"/><Relationship Id="rId18" Type="http://schemas.openxmlformats.org/officeDocument/2006/relationships/hyperlink" Target="mailto:raj@gmail.com" TargetMode="External"/><Relationship Id="rId26" Type="http://schemas.openxmlformats.org/officeDocument/2006/relationships/hyperlink" Target="mailto:naveen@gmail.com" TargetMode="External"/><Relationship Id="rId3" Type="http://schemas.openxmlformats.org/officeDocument/2006/relationships/hyperlink" Target="mailto:amit@gmail.com" TargetMode="External"/><Relationship Id="rId21" Type="http://schemas.openxmlformats.org/officeDocument/2006/relationships/hyperlink" Target="mailto:mohit@gmail.com" TargetMode="External"/><Relationship Id="rId7" Type="http://schemas.openxmlformats.org/officeDocument/2006/relationships/hyperlink" Target="mailto:arjun@gmail.com" TargetMode="External"/><Relationship Id="rId12" Type="http://schemas.openxmlformats.org/officeDocument/2006/relationships/hyperlink" Target="mailto:riya@gmail.com" TargetMode="External"/><Relationship Id="rId17" Type="http://schemas.openxmlformats.org/officeDocument/2006/relationships/hyperlink" Target="mailto:nisha@gmail.com" TargetMode="External"/><Relationship Id="rId25" Type="http://schemas.openxmlformats.org/officeDocument/2006/relationships/hyperlink" Target="mailto:divya@gmail.com" TargetMode="External"/><Relationship Id="rId2" Type="http://schemas.openxmlformats.org/officeDocument/2006/relationships/hyperlink" Target="mailto:priya@gmail.com" TargetMode="External"/><Relationship Id="rId16" Type="http://schemas.openxmlformats.org/officeDocument/2006/relationships/hyperlink" Target="mailto:suresh@gmail.com" TargetMode="External"/><Relationship Id="rId20" Type="http://schemas.openxmlformats.org/officeDocument/2006/relationships/hyperlink" Target="mailto:riya@gmail.com" TargetMode="External"/><Relationship Id="rId1" Type="http://schemas.openxmlformats.org/officeDocument/2006/relationships/hyperlink" Target="mailto:rahul@gmail.com" TargetMode="External"/><Relationship Id="rId6" Type="http://schemas.openxmlformats.org/officeDocument/2006/relationships/hyperlink" Target="mailto:sneha@gmail.com" TargetMode="External"/><Relationship Id="rId11" Type="http://schemas.openxmlformats.org/officeDocument/2006/relationships/hyperlink" Target="mailto:vikash@gmail.com" TargetMode="External"/><Relationship Id="rId24" Type="http://schemas.openxmlformats.org/officeDocument/2006/relationships/hyperlink" Target="mailto:akash@gmail.com" TargetMode="External"/><Relationship Id="rId5" Type="http://schemas.openxmlformats.org/officeDocument/2006/relationships/hyperlink" Target="mailto:amit@gmail.com" TargetMode="External"/><Relationship Id="rId15" Type="http://schemas.openxmlformats.org/officeDocument/2006/relationships/hyperlink" Target="mailto:meera@gmail.com" TargetMode="External"/><Relationship Id="rId23" Type="http://schemas.openxmlformats.org/officeDocument/2006/relationships/hyperlink" Target="mailto:varun@gmail.com" TargetMode="External"/><Relationship Id="rId10" Type="http://schemas.openxmlformats.org/officeDocument/2006/relationships/hyperlink" Target="mailto:anjali@gmail.com" TargetMode="External"/><Relationship Id="rId19" Type="http://schemas.openxmlformats.org/officeDocument/2006/relationships/hyperlink" Target="mailto:simran@gmail.com" TargetMode="External"/><Relationship Id="rId4" Type="http://schemas.openxmlformats.org/officeDocument/2006/relationships/hyperlink" Target="mailto:neha@gmail.com" TargetMode="External"/><Relationship Id="rId9" Type="http://schemas.openxmlformats.org/officeDocument/2006/relationships/hyperlink" Target="mailto:karan@gmail.com" TargetMode="External"/><Relationship Id="rId14" Type="http://schemas.openxmlformats.org/officeDocument/2006/relationships/hyperlink" Target="mailto:deepak@gmail.com" TargetMode="External"/><Relationship Id="rId22" Type="http://schemas.openxmlformats.org/officeDocument/2006/relationships/hyperlink" Target="mailto:aarti@gmail.com" TargetMode="External"/><Relationship Id="rId27" Type="http://schemas.openxmlformats.org/officeDocument/2006/relationships/hyperlink" Target="mailto:shreya@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mailto:karan@gmail.com" TargetMode="External"/><Relationship Id="rId13" Type="http://schemas.openxmlformats.org/officeDocument/2006/relationships/hyperlink" Target="mailto:deepak@gmail.com" TargetMode="External"/><Relationship Id="rId18" Type="http://schemas.openxmlformats.org/officeDocument/2006/relationships/hyperlink" Target="mailto:simran@gmail.com" TargetMode="External"/><Relationship Id="rId26" Type="http://schemas.openxmlformats.org/officeDocument/2006/relationships/table" Target="../tables/table1.xml"/><Relationship Id="rId3" Type="http://schemas.openxmlformats.org/officeDocument/2006/relationships/hyperlink" Target="mailto:amit@gmail.com" TargetMode="External"/><Relationship Id="rId21" Type="http://schemas.openxmlformats.org/officeDocument/2006/relationships/hyperlink" Target="mailto:varun@gmail.com" TargetMode="External"/><Relationship Id="rId7" Type="http://schemas.openxmlformats.org/officeDocument/2006/relationships/hyperlink" Target="mailto:pooja@gmail.com" TargetMode="External"/><Relationship Id="rId12" Type="http://schemas.openxmlformats.org/officeDocument/2006/relationships/hyperlink" Target="mailto:manish@gmail.com" TargetMode="External"/><Relationship Id="rId17" Type="http://schemas.openxmlformats.org/officeDocument/2006/relationships/hyperlink" Target="mailto:raj@gmail.com" TargetMode="External"/><Relationship Id="rId25" Type="http://schemas.openxmlformats.org/officeDocument/2006/relationships/hyperlink" Target="mailto:shreya@gmail.com" TargetMode="External"/><Relationship Id="rId2" Type="http://schemas.openxmlformats.org/officeDocument/2006/relationships/hyperlink" Target="mailto:priya@gmail.com" TargetMode="External"/><Relationship Id="rId16" Type="http://schemas.openxmlformats.org/officeDocument/2006/relationships/hyperlink" Target="mailto:nisha@gmail.com" TargetMode="External"/><Relationship Id="rId20" Type="http://schemas.openxmlformats.org/officeDocument/2006/relationships/hyperlink" Target="mailto:aarti@gmail.com" TargetMode="External"/><Relationship Id="rId1" Type="http://schemas.openxmlformats.org/officeDocument/2006/relationships/hyperlink" Target="mailto:rahul@gmail.com" TargetMode="External"/><Relationship Id="rId6" Type="http://schemas.openxmlformats.org/officeDocument/2006/relationships/hyperlink" Target="mailto:arjun@gmail.com" TargetMode="External"/><Relationship Id="rId11" Type="http://schemas.openxmlformats.org/officeDocument/2006/relationships/hyperlink" Target="mailto:riya@gmail.com" TargetMode="External"/><Relationship Id="rId24" Type="http://schemas.openxmlformats.org/officeDocument/2006/relationships/hyperlink" Target="mailto:naveen@gmail.com" TargetMode="External"/><Relationship Id="rId5" Type="http://schemas.openxmlformats.org/officeDocument/2006/relationships/hyperlink" Target="mailto:sneha@gmail.com" TargetMode="External"/><Relationship Id="rId15" Type="http://schemas.openxmlformats.org/officeDocument/2006/relationships/hyperlink" Target="mailto:suresh@gmail.com" TargetMode="External"/><Relationship Id="rId23" Type="http://schemas.openxmlformats.org/officeDocument/2006/relationships/hyperlink" Target="mailto:divya@gmail.com" TargetMode="External"/><Relationship Id="rId10" Type="http://schemas.openxmlformats.org/officeDocument/2006/relationships/hyperlink" Target="mailto:vikash@gmail.com" TargetMode="External"/><Relationship Id="rId19" Type="http://schemas.openxmlformats.org/officeDocument/2006/relationships/hyperlink" Target="mailto:mohit@gmail.com" TargetMode="External"/><Relationship Id="rId4" Type="http://schemas.openxmlformats.org/officeDocument/2006/relationships/hyperlink" Target="mailto:neha@gmail.com" TargetMode="External"/><Relationship Id="rId9" Type="http://schemas.openxmlformats.org/officeDocument/2006/relationships/hyperlink" Target="mailto:anjali@gmail.com" TargetMode="External"/><Relationship Id="rId14" Type="http://schemas.openxmlformats.org/officeDocument/2006/relationships/hyperlink" Target="mailto:meera@gmail.com" TargetMode="External"/><Relationship Id="rId22" Type="http://schemas.openxmlformats.org/officeDocument/2006/relationships/hyperlink" Target="mailto:akas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EFAD-4E1A-4CC8-800C-EFECA9E98923}">
  <dimension ref="A1:F31"/>
  <sheetViews>
    <sheetView topLeftCell="A27" workbookViewId="0">
      <selection activeCell="F1" sqref="F1"/>
    </sheetView>
  </sheetViews>
  <sheetFormatPr defaultRowHeight="14.4" x14ac:dyDescent="0.3"/>
  <cols>
    <col min="1" max="1" width="8.44140625" bestFit="1" customWidth="1"/>
    <col min="2" max="2" width="13.77734375" customWidth="1"/>
    <col min="3" max="3" width="13.5546875" customWidth="1"/>
    <col min="4" max="4" width="18.109375" customWidth="1"/>
    <col min="5" max="5" width="13.6640625" customWidth="1"/>
  </cols>
  <sheetData>
    <row r="1" spans="1:6" ht="28.8" x14ac:dyDescent="0.3">
      <c r="A1" s="1" t="s">
        <v>0</v>
      </c>
      <c r="B1" s="1" t="s">
        <v>1</v>
      </c>
      <c r="C1" s="1" t="s">
        <v>2</v>
      </c>
      <c r="D1" s="1" t="s">
        <v>3</v>
      </c>
      <c r="E1" s="1" t="s">
        <v>4</v>
      </c>
      <c r="F1" s="1" t="s">
        <v>5</v>
      </c>
    </row>
    <row r="2" spans="1:6" ht="28.8" x14ac:dyDescent="0.3">
      <c r="A2" s="2" t="s">
        <v>6</v>
      </c>
      <c r="B2" s="2" t="s">
        <v>7</v>
      </c>
      <c r="C2" s="2" t="s">
        <v>8</v>
      </c>
      <c r="D2" s="3" t="s">
        <v>9</v>
      </c>
      <c r="E2" s="4">
        <v>46150</v>
      </c>
      <c r="F2" s="2">
        <v>2500</v>
      </c>
    </row>
    <row r="3" spans="1:6" ht="28.8" x14ac:dyDescent="0.3">
      <c r="A3" s="2" t="s">
        <v>10</v>
      </c>
      <c r="B3" s="2" t="s">
        <v>11</v>
      </c>
      <c r="C3" s="2" t="s">
        <v>12</v>
      </c>
      <c r="D3" s="3" t="s">
        <v>13</v>
      </c>
      <c r="E3" s="4">
        <v>46181</v>
      </c>
      <c r="F3" s="2">
        <v>3200</v>
      </c>
    </row>
    <row r="4" spans="1:6" ht="28.8" x14ac:dyDescent="0.3">
      <c r="A4" s="2" t="s">
        <v>14</v>
      </c>
      <c r="B4" s="2" t="s">
        <v>15</v>
      </c>
      <c r="C4" s="2" t="s">
        <v>16</v>
      </c>
      <c r="D4" s="3" t="s">
        <v>17</v>
      </c>
      <c r="E4" s="4">
        <v>46211</v>
      </c>
      <c r="F4" s="2">
        <v>1800</v>
      </c>
    </row>
    <row r="5" spans="1:6" ht="28.8" x14ac:dyDescent="0.3">
      <c r="A5" s="2" t="s">
        <v>18</v>
      </c>
      <c r="B5" s="2" t="s">
        <v>19</v>
      </c>
      <c r="C5" s="2" t="s">
        <v>8</v>
      </c>
      <c r="D5" s="3" t="s">
        <v>20</v>
      </c>
      <c r="E5" s="4">
        <v>46242</v>
      </c>
      <c r="F5" s="2">
        <v>4500</v>
      </c>
    </row>
    <row r="6" spans="1:6" ht="28.8" x14ac:dyDescent="0.3">
      <c r="A6" s="2" t="s">
        <v>21</v>
      </c>
      <c r="B6" s="2" t="s">
        <v>22</v>
      </c>
      <c r="C6" s="2" t="s">
        <v>23</v>
      </c>
      <c r="D6" s="2"/>
      <c r="E6" s="4">
        <v>46273</v>
      </c>
      <c r="F6" s="2">
        <v>2100</v>
      </c>
    </row>
    <row r="7" spans="1:6" ht="28.8" x14ac:dyDescent="0.3">
      <c r="A7" s="2" t="s">
        <v>14</v>
      </c>
      <c r="B7" s="2" t="s">
        <v>15</v>
      </c>
      <c r="C7" s="2" t="s">
        <v>16</v>
      </c>
      <c r="D7" s="3" t="s">
        <v>17</v>
      </c>
      <c r="E7" s="4">
        <v>46211</v>
      </c>
      <c r="F7" s="2">
        <v>1800</v>
      </c>
    </row>
    <row r="8" spans="1:6" ht="28.8" x14ac:dyDescent="0.3">
      <c r="A8" s="2" t="s">
        <v>24</v>
      </c>
      <c r="B8" s="2" t="s">
        <v>25</v>
      </c>
      <c r="C8" s="2" t="s">
        <v>26</v>
      </c>
      <c r="D8" s="3" t="s">
        <v>27</v>
      </c>
      <c r="E8" s="4">
        <v>46303</v>
      </c>
      <c r="F8" s="2">
        <v>3500</v>
      </c>
    </row>
    <row r="9" spans="1:6" ht="28.8" x14ac:dyDescent="0.3">
      <c r="A9" s="2" t="s">
        <v>28</v>
      </c>
      <c r="B9" s="2" t="s">
        <v>29</v>
      </c>
      <c r="C9" s="2" t="s">
        <v>30</v>
      </c>
      <c r="D9" s="3" t="s">
        <v>31</v>
      </c>
      <c r="E9" s="4">
        <v>46334</v>
      </c>
      <c r="F9" s="2"/>
    </row>
    <row r="10" spans="1:6" ht="28.8" x14ac:dyDescent="0.3">
      <c r="A10" s="2" t="s">
        <v>32</v>
      </c>
      <c r="B10" s="2" t="s">
        <v>33</v>
      </c>
      <c r="C10" s="2" t="s">
        <v>34</v>
      </c>
      <c r="D10" s="3" t="s">
        <v>35</v>
      </c>
      <c r="E10" s="4">
        <v>46364</v>
      </c>
      <c r="F10" s="2">
        <v>2900</v>
      </c>
    </row>
    <row r="11" spans="1:6" ht="28.8" x14ac:dyDescent="0.3">
      <c r="A11" s="2" t="s">
        <v>36</v>
      </c>
      <c r="B11" s="2" t="s">
        <v>37</v>
      </c>
      <c r="C11" s="2" t="s">
        <v>38</v>
      </c>
      <c r="D11" s="3" t="s">
        <v>39</v>
      </c>
      <c r="E11" s="2" t="s">
        <v>40</v>
      </c>
      <c r="F11" s="2">
        <v>3800</v>
      </c>
    </row>
    <row r="12" spans="1:6" ht="28.8" x14ac:dyDescent="0.3">
      <c r="A12" s="2" t="s">
        <v>41</v>
      </c>
      <c r="B12" s="2" t="s">
        <v>42</v>
      </c>
      <c r="C12" s="2" t="s">
        <v>43</v>
      </c>
      <c r="D12" s="3" t="s">
        <v>44</v>
      </c>
      <c r="E12" s="2" t="s">
        <v>45</v>
      </c>
      <c r="F12" s="2">
        <v>4200</v>
      </c>
    </row>
    <row r="13" spans="1:6" ht="28.8" x14ac:dyDescent="0.3">
      <c r="A13" s="2" t="s">
        <v>46</v>
      </c>
      <c r="B13" s="2" t="s">
        <v>47</v>
      </c>
      <c r="C13" s="2" t="s">
        <v>48</v>
      </c>
      <c r="D13" s="3" t="s">
        <v>49</v>
      </c>
      <c r="E13" s="2" t="s">
        <v>50</v>
      </c>
      <c r="F13" s="2">
        <v>2700</v>
      </c>
    </row>
    <row r="14" spans="1:6" ht="28.8" x14ac:dyDescent="0.3">
      <c r="A14" s="2" t="s">
        <v>51</v>
      </c>
      <c r="B14" s="2" t="s">
        <v>52</v>
      </c>
      <c r="C14" s="2" t="s">
        <v>12</v>
      </c>
      <c r="D14" s="3" t="s">
        <v>53</v>
      </c>
      <c r="E14" s="2" t="s">
        <v>54</v>
      </c>
      <c r="F14" s="2">
        <v>5100</v>
      </c>
    </row>
    <row r="15" spans="1:6" ht="43.2" x14ac:dyDescent="0.3">
      <c r="A15" s="2" t="s">
        <v>55</v>
      </c>
      <c r="B15" s="2" t="s">
        <v>56</v>
      </c>
      <c r="C15" s="2" t="s">
        <v>57</v>
      </c>
      <c r="D15" s="3" t="s">
        <v>58</v>
      </c>
      <c r="E15" s="2" t="s">
        <v>59</v>
      </c>
      <c r="F15" s="2">
        <v>3300</v>
      </c>
    </row>
    <row r="16" spans="1:6" ht="28.8" x14ac:dyDescent="0.3">
      <c r="A16" s="2" t="s">
        <v>60</v>
      </c>
      <c r="B16" s="2" t="s">
        <v>61</v>
      </c>
      <c r="C16" s="2" t="s">
        <v>62</v>
      </c>
      <c r="D16" s="2"/>
      <c r="E16" s="2" t="s">
        <v>63</v>
      </c>
      <c r="F16" s="2">
        <v>2800</v>
      </c>
    </row>
    <row r="17" spans="1:6" ht="43.2" x14ac:dyDescent="0.3">
      <c r="A17" s="2" t="s">
        <v>64</v>
      </c>
      <c r="B17" s="2" t="s">
        <v>65</v>
      </c>
      <c r="C17" s="2" t="s">
        <v>30</v>
      </c>
      <c r="D17" s="3" t="s">
        <v>66</v>
      </c>
      <c r="E17" s="2" t="s">
        <v>67</v>
      </c>
      <c r="F17" s="2"/>
    </row>
    <row r="18" spans="1:6" ht="28.8" x14ac:dyDescent="0.3">
      <c r="A18" s="2" t="s">
        <v>68</v>
      </c>
      <c r="B18" s="2" t="s">
        <v>69</v>
      </c>
      <c r="C18" s="2" t="s">
        <v>70</v>
      </c>
      <c r="D18" s="3" t="s">
        <v>71</v>
      </c>
      <c r="E18" s="2" t="s">
        <v>72</v>
      </c>
      <c r="F18" s="2">
        <v>3900</v>
      </c>
    </row>
    <row r="19" spans="1:6" ht="28.8" x14ac:dyDescent="0.3">
      <c r="A19" s="2" t="s">
        <v>73</v>
      </c>
      <c r="B19" s="2" t="s">
        <v>74</v>
      </c>
      <c r="C19" s="2" t="s">
        <v>75</v>
      </c>
      <c r="D19" s="3" t="s">
        <v>76</v>
      </c>
      <c r="E19" s="2" t="s">
        <v>77</v>
      </c>
      <c r="F19" s="2">
        <v>4600</v>
      </c>
    </row>
    <row r="20" spans="1:6" ht="28.8" x14ac:dyDescent="0.3">
      <c r="A20" s="2" t="s">
        <v>78</v>
      </c>
      <c r="B20" s="2" t="s">
        <v>79</v>
      </c>
      <c r="C20" s="2" t="s">
        <v>80</v>
      </c>
      <c r="D20" s="3" t="s">
        <v>81</v>
      </c>
      <c r="E20" s="2" t="s">
        <v>82</v>
      </c>
      <c r="F20" s="2">
        <v>2400</v>
      </c>
    </row>
    <row r="21" spans="1:6" ht="28.8" x14ac:dyDescent="0.3">
      <c r="A21" s="2" t="s">
        <v>83</v>
      </c>
      <c r="B21" s="2" t="s">
        <v>84</v>
      </c>
      <c r="C21" s="2" t="s">
        <v>85</v>
      </c>
      <c r="D21" s="3" t="s">
        <v>86</v>
      </c>
      <c r="E21" s="2" t="s">
        <v>87</v>
      </c>
      <c r="F21" s="2">
        <v>5500</v>
      </c>
    </row>
    <row r="22" spans="1:6" ht="43.2" x14ac:dyDescent="0.3">
      <c r="A22" s="2" t="s">
        <v>88</v>
      </c>
      <c r="B22" s="2" t="s">
        <v>89</v>
      </c>
      <c r="C22" s="2" t="s">
        <v>34</v>
      </c>
      <c r="D22" s="3" t="s">
        <v>90</v>
      </c>
      <c r="E22" s="2" t="s">
        <v>91</v>
      </c>
      <c r="F22" s="2">
        <v>3100</v>
      </c>
    </row>
    <row r="23" spans="1:6" ht="28.8" x14ac:dyDescent="0.3">
      <c r="A23" s="2" t="s">
        <v>51</v>
      </c>
      <c r="B23" s="2" t="s">
        <v>52</v>
      </c>
      <c r="C23" s="2" t="s">
        <v>12</v>
      </c>
      <c r="D23" s="3" t="s">
        <v>53</v>
      </c>
      <c r="E23" s="2" t="s">
        <v>54</v>
      </c>
      <c r="F23" s="2">
        <v>5100</v>
      </c>
    </row>
    <row r="24" spans="1:6" ht="28.8" x14ac:dyDescent="0.3">
      <c r="A24" s="2" t="s">
        <v>92</v>
      </c>
      <c r="B24" s="2" t="s">
        <v>93</v>
      </c>
      <c r="C24" s="2" t="s">
        <v>94</v>
      </c>
      <c r="D24" s="3" t="s">
        <v>95</v>
      </c>
      <c r="E24" s="2" t="s">
        <v>96</v>
      </c>
      <c r="F24" s="2">
        <v>3700</v>
      </c>
    </row>
    <row r="25" spans="1:6" ht="28.8" x14ac:dyDescent="0.3">
      <c r="A25" s="2" t="s">
        <v>97</v>
      </c>
      <c r="B25" s="2" t="s">
        <v>98</v>
      </c>
      <c r="C25" s="2" t="s">
        <v>99</v>
      </c>
      <c r="D25" s="3" t="s">
        <v>100</v>
      </c>
      <c r="E25" s="2" t="s">
        <v>101</v>
      </c>
      <c r="F25" s="2"/>
    </row>
    <row r="26" spans="1:6" ht="28.8" x14ac:dyDescent="0.3">
      <c r="A26" s="2" t="s">
        <v>102</v>
      </c>
      <c r="B26" s="2" t="s">
        <v>103</v>
      </c>
      <c r="C26" s="2" t="s">
        <v>23</v>
      </c>
      <c r="D26" s="3" t="s">
        <v>104</v>
      </c>
      <c r="E26" s="2" t="s">
        <v>105</v>
      </c>
      <c r="F26" s="2">
        <v>4300</v>
      </c>
    </row>
    <row r="27" spans="1:6" ht="28.8" x14ac:dyDescent="0.3">
      <c r="A27" s="2" t="s">
        <v>106</v>
      </c>
      <c r="B27" s="2" t="s">
        <v>107</v>
      </c>
      <c r="C27" s="2" t="s">
        <v>75</v>
      </c>
      <c r="D27" s="2"/>
      <c r="E27" s="2" t="s">
        <v>108</v>
      </c>
      <c r="F27" s="2">
        <v>2600</v>
      </c>
    </row>
    <row r="28" spans="1:6" ht="28.8" x14ac:dyDescent="0.3">
      <c r="A28" s="2" t="s">
        <v>109</v>
      </c>
      <c r="B28" s="2" t="s">
        <v>110</v>
      </c>
      <c r="C28" s="2" t="s">
        <v>8</v>
      </c>
      <c r="D28" s="3" t="s">
        <v>111</v>
      </c>
      <c r="E28" s="2" t="s">
        <v>112</v>
      </c>
      <c r="F28" s="2">
        <v>4800</v>
      </c>
    </row>
    <row r="29" spans="1:6" ht="28.8" x14ac:dyDescent="0.3">
      <c r="A29" s="2" t="s">
        <v>113</v>
      </c>
      <c r="B29" s="2" t="s">
        <v>114</v>
      </c>
      <c r="C29" s="2" t="s">
        <v>43</v>
      </c>
      <c r="D29" s="3" t="s">
        <v>115</v>
      </c>
      <c r="E29" s="2" t="s">
        <v>116</v>
      </c>
      <c r="F29" s="2">
        <v>3400</v>
      </c>
    </row>
    <row r="30" spans="1:6" ht="43.2" x14ac:dyDescent="0.3">
      <c r="A30" s="2" t="s">
        <v>117</v>
      </c>
      <c r="B30" s="2" t="s">
        <v>118</v>
      </c>
      <c r="C30" s="2" t="s">
        <v>62</v>
      </c>
      <c r="D30" s="3" t="s">
        <v>119</v>
      </c>
      <c r="E30" s="2" t="s">
        <v>120</v>
      </c>
      <c r="F30" s="2">
        <v>2950</v>
      </c>
    </row>
    <row r="31" spans="1:6" ht="43.2" x14ac:dyDescent="0.3">
      <c r="A31" s="2" t="s">
        <v>121</v>
      </c>
      <c r="B31" s="2" t="s">
        <v>122</v>
      </c>
      <c r="C31" s="2" t="s">
        <v>85</v>
      </c>
      <c r="D31" s="3" t="s">
        <v>123</v>
      </c>
      <c r="E31" s="4">
        <v>46031</v>
      </c>
      <c r="F31" s="2">
        <v>5200</v>
      </c>
    </row>
  </sheetData>
  <hyperlinks>
    <hyperlink ref="D2" r:id="rId1" display="mailto:rahul@gmail.com" xr:uid="{63E19398-4B1A-4C32-B7EB-8255EB50C90E}"/>
    <hyperlink ref="D3" r:id="rId2" display="mailto:priya@gmail.com" xr:uid="{B5CDBC30-B71F-4E4F-9B1A-4520E3659E6B}"/>
    <hyperlink ref="D4" r:id="rId3" display="mailto:amit@gmail.com" xr:uid="{378AFA8B-60BD-4D4A-8D48-CC8333DCABB1}"/>
    <hyperlink ref="D5" r:id="rId4" display="mailto:neha@gmail.com" xr:uid="{162225F5-5BED-4263-89A2-283883AC3924}"/>
    <hyperlink ref="D7" r:id="rId5" display="mailto:amit@gmail.com" xr:uid="{2EBEC6CB-143E-4C0E-A193-4728D9966EEA}"/>
    <hyperlink ref="D8" r:id="rId6" display="mailto:sneha@gmail.com" xr:uid="{368E2D7E-9B8F-43E5-BE0D-539D073178B2}"/>
    <hyperlink ref="D9" r:id="rId7" display="mailto:arjun@gmail.com" xr:uid="{EA87DB90-341E-4134-B3CC-18DFB49FC5D5}"/>
    <hyperlink ref="D10" r:id="rId8" display="mailto:pooja@gmail.com" xr:uid="{FDC7500D-87B0-447F-86D0-9A89CD7B1845}"/>
    <hyperlink ref="D11" r:id="rId9" display="mailto:karan@gmail.com" xr:uid="{DE07FF74-79EF-4121-A548-E8AF597CA91E}"/>
    <hyperlink ref="D12" r:id="rId10" display="mailto:anjali@gmail.com" xr:uid="{58DD8421-51F6-436A-B469-E9EA733BF967}"/>
    <hyperlink ref="D13" r:id="rId11" display="mailto:vikash@gmail.com" xr:uid="{748AB4F2-BD8E-4AA0-A399-ACBE39A1BD09}"/>
    <hyperlink ref="D14" r:id="rId12" display="mailto:riya@gmail.com" xr:uid="{F4DF277A-43AF-42FC-8F8E-F4AF0422B64E}"/>
    <hyperlink ref="D15" r:id="rId13" display="mailto:manish@gmail.com" xr:uid="{FEA52564-891D-43E5-BE91-3A276F933FA7}"/>
    <hyperlink ref="D17" r:id="rId14" display="mailto:deepak@gmail.com" xr:uid="{FFC994C0-F5A6-4E5B-A618-8693C1C5FA17}"/>
    <hyperlink ref="D18" r:id="rId15" display="mailto:meera@gmail.com" xr:uid="{24119911-851D-4226-99E1-9A9383EB928A}"/>
    <hyperlink ref="D19" r:id="rId16" display="mailto:suresh@gmail.com" xr:uid="{0F670980-93D9-4D56-9259-B159BE7911ED}"/>
    <hyperlink ref="D20" r:id="rId17" display="mailto:nisha@gmail.com" xr:uid="{1F231D7F-01A5-4925-9A8B-91A5D4EE2B42}"/>
    <hyperlink ref="D21" r:id="rId18" display="mailto:raj@gmail.com" xr:uid="{579A99C0-39E5-4266-A5D8-9FE3E4AE61DD}"/>
    <hyperlink ref="D22" r:id="rId19" display="mailto:simran@gmail.com" xr:uid="{00A78396-F13C-4AB5-A3C7-2C8168B5C7DA}"/>
    <hyperlink ref="D23" r:id="rId20" display="mailto:riya@gmail.com" xr:uid="{CF92AAF7-3118-4770-A45A-9406C163B9FA}"/>
    <hyperlink ref="D24" r:id="rId21" display="mailto:mohit@gmail.com" xr:uid="{27B0294F-A0F1-4067-A35C-2583D0FD14DD}"/>
    <hyperlink ref="D25" r:id="rId22" display="mailto:aarti@gmail.com" xr:uid="{A4658703-F000-47BA-BB48-31FBCF7C2A1F}"/>
    <hyperlink ref="D26" r:id="rId23" display="mailto:varun@gmail.com" xr:uid="{6496997E-C52B-47CA-BADD-8507EDAFA1F1}"/>
    <hyperlink ref="D28" r:id="rId24" display="mailto:akash@gmail.com" xr:uid="{937F4AE8-0011-4D5B-B79D-7CC5F4B7F052}"/>
    <hyperlink ref="D29" r:id="rId25" display="mailto:divya@gmail.com" xr:uid="{4349859B-49FE-4ED3-A009-ADF2FF1BE724}"/>
    <hyperlink ref="D30" r:id="rId26" display="mailto:naveen@gmail.com" xr:uid="{5F782340-AB53-4C0B-92B2-E1DF3F1580AD}"/>
    <hyperlink ref="D31" r:id="rId27" display="mailto:shreya@gmail.com" xr:uid="{07A26C78-DDA0-4FF4-A40E-21B5133A93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7C98-B1C1-448C-BD73-1F2233F31066}">
  <dimension ref="A3:B31"/>
  <sheetViews>
    <sheetView topLeftCell="A10" workbookViewId="0">
      <selection activeCell="A24" sqref="A24"/>
    </sheetView>
  </sheetViews>
  <sheetFormatPr defaultRowHeight="14.4" x14ac:dyDescent="0.3"/>
  <cols>
    <col min="1" max="1" width="19" bestFit="1" customWidth="1"/>
    <col min="2" max="2" width="14.44140625" bestFit="1" customWidth="1"/>
  </cols>
  <sheetData>
    <row r="3" spans="1:2" x14ac:dyDescent="0.3">
      <c r="A3" s="8" t="s">
        <v>128</v>
      </c>
      <c r="B3" t="s">
        <v>130</v>
      </c>
    </row>
    <row r="4" spans="1:2" x14ac:dyDescent="0.3">
      <c r="A4" s="9" t="s">
        <v>12</v>
      </c>
      <c r="B4" s="20">
        <v>22500</v>
      </c>
    </row>
    <row r="5" spans="1:2" x14ac:dyDescent="0.3">
      <c r="A5" s="9" t="s">
        <v>34</v>
      </c>
      <c r="B5" s="20">
        <v>21100</v>
      </c>
    </row>
    <row r="6" spans="1:2" x14ac:dyDescent="0.3">
      <c r="A6" s="9" t="s">
        <v>23</v>
      </c>
      <c r="B6" s="20">
        <v>13508</v>
      </c>
    </row>
    <row r="7" spans="1:2" x14ac:dyDescent="0.3">
      <c r="A7" s="9" t="s">
        <v>75</v>
      </c>
      <c r="B7" s="20">
        <v>12800</v>
      </c>
    </row>
    <row r="8" spans="1:2" x14ac:dyDescent="0.3">
      <c r="A8" s="9" t="s">
        <v>62</v>
      </c>
      <c r="B8" s="20">
        <v>12150</v>
      </c>
    </row>
    <row r="9" spans="1:2" x14ac:dyDescent="0.3">
      <c r="A9" s="9" t="s">
        <v>125</v>
      </c>
      <c r="B9" s="20">
        <v>10000</v>
      </c>
    </row>
    <row r="10" spans="1:2" x14ac:dyDescent="0.3">
      <c r="A10" s="9" t="s">
        <v>126</v>
      </c>
      <c r="B10" s="20">
        <v>7454</v>
      </c>
    </row>
    <row r="11" spans="1:2" x14ac:dyDescent="0.3">
      <c r="A11" s="9"/>
      <c r="B11" s="20"/>
    </row>
    <row r="12" spans="1:2" x14ac:dyDescent="0.3">
      <c r="A12" s="9" t="s">
        <v>129</v>
      </c>
      <c r="B12" s="20">
        <v>99512</v>
      </c>
    </row>
    <row r="23" spans="1:1" x14ac:dyDescent="0.3">
      <c r="A23" t="s">
        <v>133</v>
      </c>
    </row>
    <row r="24" spans="1:1" x14ac:dyDescent="0.3">
      <c r="A24" s="10">
        <v>3554</v>
      </c>
    </row>
    <row r="27" spans="1:1" x14ac:dyDescent="0.3">
      <c r="A27" t="s">
        <v>134</v>
      </c>
    </row>
    <row r="28" spans="1:1" x14ac:dyDescent="0.3">
      <c r="A28" s="10">
        <v>5500</v>
      </c>
    </row>
    <row r="30" spans="1:1" x14ac:dyDescent="0.3">
      <c r="A30" t="s">
        <v>135</v>
      </c>
    </row>
    <row r="31" spans="1:1" x14ac:dyDescent="0.3">
      <c r="A31" s="10">
        <v>1800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CC1-9B15-4A47-AAFD-F18748280D9B}">
  <dimension ref="B1:L4"/>
  <sheetViews>
    <sheetView showGridLines="0" tabSelected="1" zoomScale="97" workbookViewId="0">
      <selection activeCell="N16" sqref="N16"/>
    </sheetView>
  </sheetViews>
  <sheetFormatPr defaultRowHeight="14.4" x14ac:dyDescent="0.3"/>
  <cols>
    <col min="2" max="2" width="15.33203125" bestFit="1" customWidth="1"/>
    <col min="4" max="4" width="18.77734375" customWidth="1"/>
    <col min="6" max="6" width="18.77734375" customWidth="1"/>
    <col min="8" max="8" width="18.88671875" customWidth="1"/>
  </cols>
  <sheetData>
    <row r="1" spans="2:12" ht="39.6" customHeight="1" x14ac:dyDescent="0.3">
      <c r="B1" s="21"/>
      <c r="C1" s="21"/>
      <c r="D1" s="21"/>
      <c r="E1" s="21"/>
      <c r="F1" s="21"/>
      <c r="G1" s="21"/>
      <c r="H1" s="21"/>
      <c r="I1" s="21"/>
      <c r="J1" s="21"/>
      <c r="K1" s="21"/>
      <c r="L1" s="21"/>
    </row>
    <row r="3" spans="2:12" x14ac:dyDescent="0.3">
      <c r="B3" s="11" t="s">
        <v>131</v>
      </c>
      <c r="C3" s="11"/>
      <c r="D3" s="13" t="s">
        <v>132</v>
      </c>
      <c r="E3" s="13"/>
      <c r="F3" s="15" t="s">
        <v>136</v>
      </c>
      <c r="G3" s="15"/>
      <c r="H3" s="17" t="s">
        <v>137</v>
      </c>
      <c r="I3" s="18"/>
    </row>
    <row r="4" spans="2:12" ht="21" x14ac:dyDescent="0.4">
      <c r="B4" s="12">
        <f>GETPIVOTDATA("Amount",Sheet3!$A$3)</f>
        <v>99512</v>
      </c>
      <c r="C4" s="12"/>
      <c r="D4" s="14">
        <f>Sheet3!A24</f>
        <v>3554</v>
      </c>
      <c r="E4" s="14"/>
      <c r="F4" s="16">
        <f>Sheet3!A28</f>
        <v>5500</v>
      </c>
      <c r="G4" s="16"/>
      <c r="H4" s="19">
        <f>Sheet3!A31</f>
        <v>1800</v>
      </c>
      <c r="I4" s="18"/>
    </row>
  </sheetData>
  <mergeCells count="1">
    <mergeCell ref="B1: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4E03-6691-463B-B847-8FCB471F4E29}">
  <dimension ref="A1:F31"/>
  <sheetViews>
    <sheetView topLeftCell="A2" workbookViewId="0">
      <selection activeCell="A2" sqref="A2"/>
    </sheetView>
  </sheetViews>
  <sheetFormatPr defaultRowHeight="14.4" x14ac:dyDescent="0.3"/>
  <cols>
    <col min="1" max="1" width="13.77734375" customWidth="1"/>
    <col min="2" max="2" width="17.44140625" customWidth="1"/>
    <col min="3" max="3" width="13.5546875" customWidth="1"/>
    <col min="4" max="4" width="18.109375" customWidth="1"/>
    <col min="5" max="5" width="13.6640625" customWidth="1"/>
    <col min="6" max="6" width="9.77734375" customWidth="1"/>
  </cols>
  <sheetData>
    <row r="1" spans="1:6" x14ac:dyDescent="0.3">
      <c r="A1" s="6" t="s">
        <v>0</v>
      </c>
      <c r="B1" s="6" t="s">
        <v>1</v>
      </c>
      <c r="C1" s="6" t="s">
        <v>2</v>
      </c>
      <c r="D1" s="6" t="s">
        <v>3</v>
      </c>
      <c r="E1" s="6" t="s">
        <v>4</v>
      </c>
      <c r="F1" s="6" t="s">
        <v>5</v>
      </c>
    </row>
    <row r="2" spans="1:6" x14ac:dyDescent="0.3">
      <c r="A2" s="2" t="s">
        <v>6</v>
      </c>
      <c r="B2" s="2" t="s">
        <v>7</v>
      </c>
      <c r="C2" s="2" t="s">
        <v>34</v>
      </c>
      <c r="D2" s="3" t="s">
        <v>9</v>
      </c>
      <c r="E2" s="5">
        <v>46239</v>
      </c>
      <c r="F2" s="7">
        <v>2500</v>
      </c>
    </row>
    <row r="3" spans="1:6" x14ac:dyDescent="0.3">
      <c r="A3" s="2" t="s">
        <v>10</v>
      </c>
      <c r="B3" s="2" t="s">
        <v>11</v>
      </c>
      <c r="C3" s="2" t="s">
        <v>12</v>
      </c>
      <c r="D3" s="3" t="s">
        <v>13</v>
      </c>
      <c r="E3" s="5">
        <v>46240</v>
      </c>
      <c r="F3" s="7">
        <v>3200</v>
      </c>
    </row>
    <row r="4" spans="1:6" x14ac:dyDescent="0.3">
      <c r="A4" s="2" t="s">
        <v>14</v>
      </c>
      <c r="B4" s="2" t="s">
        <v>15</v>
      </c>
      <c r="C4" s="2" t="s">
        <v>75</v>
      </c>
      <c r="D4" s="3" t="s">
        <v>17</v>
      </c>
      <c r="E4" s="5">
        <v>46241</v>
      </c>
      <c r="F4" s="7">
        <v>1800</v>
      </c>
    </row>
    <row r="5" spans="1:6" x14ac:dyDescent="0.3">
      <c r="A5" s="2" t="s">
        <v>18</v>
      </c>
      <c r="B5" s="2" t="s">
        <v>19</v>
      </c>
      <c r="C5" s="2" t="s">
        <v>34</v>
      </c>
      <c r="D5" s="3" t="s">
        <v>20</v>
      </c>
      <c r="E5" s="5">
        <v>46242</v>
      </c>
      <c r="F5" s="7">
        <v>4500</v>
      </c>
    </row>
    <row r="6" spans="1:6" x14ac:dyDescent="0.3">
      <c r="A6" s="2" t="s">
        <v>21</v>
      </c>
      <c r="B6" s="2" t="s">
        <v>22</v>
      </c>
      <c r="C6" s="2" t="s">
        <v>23</v>
      </c>
      <c r="D6" s="2" t="s">
        <v>124</v>
      </c>
      <c r="E6" s="5">
        <v>46243</v>
      </c>
      <c r="F6" s="7">
        <v>2100</v>
      </c>
    </row>
    <row r="7" spans="1:6" x14ac:dyDescent="0.3">
      <c r="A7" s="2" t="s">
        <v>24</v>
      </c>
      <c r="B7" s="2" t="s">
        <v>25</v>
      </c>
      <c r="C7" s="2" t="s">
        <v>12</v>
      </c>
      <c r="D7" s="3" t="s">
        <v>27</v>
      </c>
      <c r="E7" s="5">
        <v>46244</v>
      </c>
      <c r="F7" s="7">
        <v>3500</v>
      </c>
    </row>
    <row r="8" spans="1:6" x14ac:dyDescent="0.3">
      <c r="A8" s="2" t="s">
        <v>28</v>
      </c>
      <c r="B8" s="2" t="s">
        <v>29</v>
      </c>
      <c r="C8" s="2" t="s">
        <v>23</v>
      </c>
      <c r="D8" s="3" t="s">
        <v>31</v>
      </c>
      <c r="E8" s="5">
        <v>46245</v>
      </c>
      <c r="F8" s="7">
        <v>3554</v>
      </c>
    </row>
    <row r="9" spans="1:6" x14ac:dyDescent="0.3">
      <c r="A9" s="2" t="s">
        <v>32</v>
      </c>
      <c r="B9" s="2" t="s">
        <v>33</v>
      </c>
      <c r="C9" s="2" t="s">
        <v>34</v>
      </c>
      <c r="D9" s="3" t="s">
        <v>35</v>
      </c>
      <c r="E9" s="5">
        <v>46246</v>
      </c>
      <c r="F9" s="7">
        <v>2900</v>
      </c>
    </row>
    <row r="10" spans="1:6" x14ac:dyDescent="0.3">
      <c r="A10" s="2" t="s">
        <v>36</v>
      </c>
      <c r="B10" s="2" t="s">
        <v>37</v>
      </c>
      <c r="C10" s="2" t="s">
        <v>75</v>
      </c>
      <c r="D10" s="3" t="s">
        <v>39</v>
      </c>
      <c r="E10" s="5">
        <v>46247</v>
      </c>
      <c r="F10" s="7">
        <v>3800</v>
      </c>
    </row>
    <row r="11" spans="1:6" x14ac:dyDescent="0.3">
      <c r="A11" s="2" t="s">
        <v>41</v>
      </c>
      <c r="B11" s="2" t="s">
        <v>42</v>
      </c>
      <c r="C11" s="2" t="s">
        <v>125</v>
      </c>
      <c r="D11" s="3" t="s">
        <v>44</v>
      </c>
      <c r="E11" s="5">
        <v>46248</v>
      </c>
      <c r="F11" s="7">
        <v>4200</v>
      </c>
    </row>
    <row r="12" spans="1:6" x14ac:dyDescent="0.3">
      <c r="A12" s="2" t="s">
        <v>46</v>
      </c>
      <c r="B12" s="2" t="s">
        <v>47</v>
      </c>
      <c r="C12" s="2" t="s">
        <v>62</v>
      </c>
      <c r="D12" s="3" t="s">
        <v>49</v>
      </c>
      <c r="E12" s="5">
        <v>46249</v>
      </c>
      <c r="F12" s="7">
        <v>2700</v>
      </c>
    </row>
    <row r="13" spans="1:6" x14ac:dyDescent="0.3">
      <c r="A13" s="2" t="s">
        <v>51</v>
      </c>
      <c r="B13" s="2" t="s">
        <v>52</v>
      </c>
      <c r="C13" s="2" t="s">
        <v>12</v>
      </c>
      <c r="D13" s="3" t="s">
        <v>53</v>
      </c>
      <c r="E13" s="5">
        <v>46250</v>
      </c>
      <c r="F13" s="7">
        <v>5100</v>
      </c>
    </row>
    <row r="14" spans="1:6" x14ac:dyDescent="0.3">
      <c r="A14" s="2" t="s">
        <v>55</v>
      </c>
      <c r="B14" s="2" t="s">
        <v>56</v>
      </c>
      <c r="C14" s="2" t="s">
        <v>34</v>
      </c>
      <c r="D14" s="3" t="s">
        <v>58</v>
      </c>
      <c r="E14" s="5">
        <v>46251</v>
      </c>
      <c r="F14" s="7">
        <v>3300</v>
      </c>
    </row>
    <row r="15" spans="1:6" x14ac:dyDescent="0.3">
      <c r="A15" s="2" t="s">
        <v>60</v>
      </c>
      <c r="B15" s="2" t="s">
        <v>61</v>
      </c>
      <c r="C15" s="2" t="s">
        <v>62</v>
      </c>
      <c r="D15" s="2" t="s">
        <v>124</v>
      </c>
      <c r="E15" s="5">
        <v>46252</v>
      </c>
      <c r="F15" s="7">
        <v>2800</v>
      </c>
    </row>
    <row r="16" spans="1:6" x14ac:dyDescent="0.3">
      <c r="A16" s="2" t="s">
        <v>64</v>
      </c>
      <c r="B16" s="2" t="s">
        <v>65</v>
      </c>
      <c r="C16" s="2" t="s">
        <v>23</v>
      </c>
      <c r="D16" s="3" t="s">
        <v>66</v>
      </c>
      <c r="E16" s="5">
        <v>46253</v>
      </c>
      <c r="F16" s="7">
        <v>3554</v>
      </c>
    </row>
    <row r="17" spans="1:6" x14ac:dyDescent="0.3">
      <c r="A17" s="2" t="s">
        <v>68</v>
      </c>
      <c r="B17" s="2" t="s">
        <v>69</v>
      </c>
      <c r="C17" s="2" t="s">
        <v>126</v>
      </c>
      <c r="D17" s="3" t="s">
        <v>71</v>
      </c>
      <c r="E17" s="5">
        <v>46254</v>
      </c>
      <c r="F17" s="7">
        <v>3900</v>
      </c>
    </row>
    <row r="18" spans="1:6" x14ac:dyDescent="0.3">
      <c r="A18" s="2" t="s">
        <v>73</v>
      </c>
      <c r="B18" s="2" t="s">
        <v>74</v>
      </c>
      <c r="C18" s="2" t="s">
        <v>75</v>
      </c>
      <c r="D18" s="3" t="s">
        <v>76</v>
      </c>
      <c r="E18" s="5">
        <v>46255</v>
      </c>
      <c r="F18" s="7">
        <v>4600</v>
      </c>
    </row>
    <row r="19" spans="1:6" x14ac:dyDescent="0.3">
      <c r="A19" s="2" t="s">
        <v>78</v>
      </c>
      <c r="B19" s="2" t="s">
        <v>79</v>
      </c>
      <c r="C19" s="2" t="s">
        <v>125</v>
      </c>
      <c r="D19" s="3" t="s">
        <v>81</v>
      </c>
      <c r="E19" s="5">
        <v>46256</v>
      </c>
      <c r="F19" s="7">
        <v>2400</v>
      </c>
    </row>
    <row r="20" spans="1:6" x14ac:dyDescent="0.3">
      <c r="A20" s="2" t="s">
        <v>83</v>
      </c>
      <c r="B20" s="2" t="s">
        <v>84</v>
      </c>
      <c r="C20" s="2" t="s">
        <v>12</v>
      </c>
      <c r="D20" s="3" t="s">
        <v>86</v>
      </c>
      <c r="E20" s="5">
        <v>46257</v>
      </c>
      <c r="F20" s="7">
        <v>5500</v>
      </c>
    </row>
    <row r="21" spans="1:6" x14ac:dyDescent="0.3">
      <c r="A21" s="2" t="s">
        <v>88</v>
      </c>
      <c r="B21" s="2" t="s">
        <v>89</v>
      </c>
      <c r="C21" s="2" t="s">
        <v>34</v>
      </c>
      <c r="D21" s="3" t="s">
        <v>90</v>
      </c>
      <c r="E21" s="5">
        <v>46258</v>
      </c>
      <c r="F21" s="7">
        <v>3100</v>
      </c>
    </row>
    <row r="22" spans="1:6" x14ac:dyDescent="0.3">
      <c r="A22" s="2" t="s">
        <v>92</v>
      </c>
      <c r="B22" s="2" t="s">
        <v>93</v>
      </c>
      <c r="C22" s="2" t="s">
        <v>62</v>
      </c>
      <c r="D22" s="3" t="s">
        <v>95</v>
      </c>
      <c r="E22" s="5">
        <v>46259</v>
      </c>
      <c r="F22" s="7">
        <v>3700</v>
      </c>
    </row>
    <row r="23" spans="1:6" x14ac:dyDescent="0.3">
      <c r="A23" s="2" t="s">
        <v>97</v>
      </c>
      <c r="B23" s="2" t="s">
        <v>98</v>
      </c>
      <c r="C23" s="2" t="s">
        <v>126</v>
      </c>
      <c r="D23" s="3" t="s">
        <v>100</v>
      </c>
      <c r="E23" s="5">
        <v>46260</v>
      </c>
      <c r="F23" s="7">
        <v>3554</v>
      </c>
    </row>
    <row r="24" spans="1:6" x14ac:dyDescent="0.3">
      <c r="A24" s="2" t="s">
        <v>102</v>
      </c>
      <c r="B24" s="2" t="s">
        <v>103</v>
      </c>
      <c r="C24" s="2" t="s">
        <v>23</v>
      </c>
      <c r="D24" s="3" t="s">
        <v>104</v>
      </c>
      <c r="E24" s="5">
        <v>46261</v>
      </c>
      <c r="F24" s="7">
        <v>4300</v>
      </c>
    </row>
    <row r="25" spans="1:6" x14ac:dyDescent="0.3">
      <c r="A25" s="2" t="s">
        <v>106</v>
      </c>
      <c r="B25" s="2" t="s">
        <v>107</v>
      </c>
      <c r="C25" s="2" t="s">
        <v>75</v>
      </c>
      <c r="D25" s="2" t="s">
        <v>124</v>
      </c>
      <c r="E25" s="5">
        <v>46262</v>
      </c>
      <c r="F25" s="7">
        <v>2600</v>
      </c>
    </row>
    <row r="26" spans="1:6" x14ac:dyDescent="0.3">
      <c r="A26" s="2" t="s">
        <v>109</v>
      </c>
      <c r="B26" s="2" t="s">
        <v>110</v>
      </c>
      <c r="C26" s="2" t="s">
        <v>34</v>
      </c>
      <c r="D26" s="3" t="s">
        <v>111</v>
      </c>
      <c r="E26" s="5">
        <v>46263</v>
      </c>
      <c r="F26" s="7">
        <v>4800</v>
      </c>
    </row>
    <row r="27" spans="1:6" x14ac:dyDescent="0.3">
      <c r="A27" s="2" t="s">
        <v>113</v>
      </c>
      <c r="B27" s="2" t="s">
        <v>114</v>
      </c>
      <c r="C27" s="2" t="s">
        <v>125</v>
      </c>
      <c r="D27" s="3" t="s">
        <v>115</v>
      </c>
      <c r="E27" s="5">
        <v>46264</v>
      </c>
      <c r="F27" s="7">
        <v>3400</v>
      </c>
    </row>
    <row r="28" spans="1:6" x14ac:dyDescent="0.3">
      <c r="A28" s="2" t="s">
        <v>117</v>
      </c>
      <c r="B28" s="2" t="s">
        <v>118</v>
      </c>
      <c r="C28" s="2" t="s">
        <v>62</v>
      </c>
      <c r="D28" s="3" t="s">
        <v>119</v>
      </c>
      <c r="E28" s="5">
        <v>46265</v>
      </c>
      <c r="F28" s="7">
        <v>2950</v>
      </c>
    </row>
    <row r="29" spans="1:6" x14ac:dyDescent="0.3">
      <c r="A29" s="2" t="s">
        <v>121</v>
      </c>
      <c r="B29" s="2" t="s">
        <v>122</v>
      </c>
      <c r="C29" s="2" t="s">
        <v>12</v>
      </c>
      <c r="D29" s="3" t="s">
        <v>123</v>
      </c>
      <c r="E29" s="5">
        <v>46266</v>
      </c>
      <c r="F29" s="7">
        <v>5200</v>
      </c>
    </row>
    <row r="30" spans="1:6" x14ac:dyDescent="0.3">
      <c r="C30" t="s">
        <v>127</v>
      </c>
    </row>
    <row r="31" spans="1:6" x14ac:dyDescent="0.3">
      <c r="C31" t="s">
        <v>127</v>
      </c>
    </row>
  </sheetData>
  <hyperlinks>
    <hyperlink ref="D2" r:id="rId1" display="mailto:rahul@gmail.com" xr:uid="{EEC9B986-FBF6-4EDE-B50D-C5EFA63E0458}"/>
    <hyperlink ref="D3" r:id="rId2" display="mailto:priya@gmail.com" xr:uid="{608E0A4F-3CF7-4F22-95C4-8868BFA61651}"/>
    <hyperlink ref="D4" r:id="rId3" display="mailto:amit@gmail.com" xr:uid="{768A1DB5-3718-485C-BB5D-88A037E26218}"/>
    <hyperlink ref="D5" r:id="rId4" display="mailto:neha@gmail.com" xr:uid="{32983629-8331-45B4-9D2F-8E60DFFAFAD2}"/>
    <hyperlink ref="D7" r:id="rId5" display="mailto:sneha@gmail.com" xr:uid="{62502C0A-F177-431D-A459-DA0C1CE8D957}"/>
    <hyperlink ref="D8" r:id="rId6" display="mailto:arjun@gmail.com" xr:uid="{8CB8A7FB-8853-4269-812D-20521BAA18BA}"/>
    <hyperlink ref="D9" r:id="rId7" display="mailto:pooja@gmail.com" xr:uid="{F8D22693-F9B6-48CD-AED4-D17124A3993F}"/>
    <hyperlink ref="D10" r:id="rId8" display="mailto:karan@gmail.com" xr:uid="{4917210C-3A24-4A98-B655-47E0CA9B6233}"/>
    <hyperlink ref="D11" r:id="rId9" display="mailto:anjali@gmail.com" xr:uid="{78C57849-D58B-4EFA-8A23-67CF145FED7A}"/>
    <hyperlink ref="D12" r:id="rId10" display="mailto:vikash@gmail.com" xr:uid="{AB292123-AEC2-4ECA-9C8E-994EADAFF8C4}"/>
    <hyperlink ref="D13" r:id="rId11" display="mailto:riya@gmail.com" xr:uid="{47ECBD1B-6C7A-4F6D-9980-0783B3B18BEC}"/>
    <hyperlink ref="D14" r:id="rId12" display="mailto:manish@gmail.com" xr:uid="{665DC03E-CE71-485C-A0A4-57112901A87E}"/>
    <hyperlink ref="D16" r:id="rId13" display="mailto:deepak@gmail.com" xr:uid="{880E0507-CB40-497C-A931-39A06B687277}"/>
    <hyperlink ref="D17" r:id="rId14" display="mailto:meera@gmail.com" xr:uid="{2C86D806-0EC9-4DCB-B65C-44C4A1BA5533}"/>
    <hyperlink ref="D18" r:id="rId15" display="mailto:suresh@gmail.com" xr:uid="{41F02BCE-1EF1-49E0-88F4-C9BCE53E43D8}"/>
    <hyperlink ref="D19" r:id="rId16" display="mailto:nisha@gmail.com" xr:uid="{8CF6D7D9-8471-4293-89E8-3F025BFD8840}"/>
    <hyperlink ref="D20" r:id="rId17" display="mailto:raj@gmail.com" xr:uid="{60A16134-64BB-4EA4-B8E7-083974D5C24E}"/>
    <hyperlink ref="D21" r:id="rId18" display="mailto:simran@gmail.com" xr:uid="{88A478BD-22FF-428B-80A0-FA6A2EB76E0E}"/>
    <hyperlink ref="D22" r:id="rId19" display="mailto:mohit@gmail.com" xr:uid="{356B7888-B462-4BD7-8506-60FA0A4736C0}"/>
    <hyperlink ref="D23" r:id="rId20" display="mailto:aarti@gmail.com" xr:uid="{543986A8-DC89-40B4-8C76-66B5E624589F}"/>
    <hyperlink ref="D24" r:id="rId21" display="mailto:varun@gmail.com" xr:uid="{B3DC7E92-811D-4F93-81E8-513CEF5591C3}"/>
    <hyperlink ref="D26" r:id="rId22" display="mailto:akash@gmail.com" xr:uid="{0B677C4B-2A0F-46C8-97AC-E4A347DDC41B}"/>
    <hyperlink ref="D27" r:id="rId23" display="mailto:divya@gmail.com" xr:uid="{3414C2EC-C53D-4413-86A9-744A3C5F4938}"/>
    <hyperlink ref="D28" r:id="rId24" display="mailto:naveen@gmail.com" xr:uid="{66276723-2BD9-4A05-BC90-94F841FCE1E3}"/>
    <hyperlink ref="D29" r:id="rId25" display="mailto:shreya@gmail.com" xr:uid="{E46F7A43-10E7-4912-B29A-46A31445AD29}"/>
  </hyperlinks>
  <pageMargins left="0.7" right="0.7" top="0.75" bottom="0.75" header="0.3" footer="0.3"/>
  <tableParts count="1">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Raw_Customer_Order_Data.xls (2)</vt:lpstr>
      <vt:lpstr>Sheet3</vt:lpstr>
      <vt:lpstr>Dashboard</vt:lpstr>
      <vt:lpstr>Cleaned_Data</vt:lpstr>
      <vt:lpstr>D3E3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Sharma</dc:creator>
  <cp:lastModifiedBy>Nidhi Sharma</cp:lastModifiedBy>
  <dcterms:created xsi:type="dcterms:W3CDTF">2026-09-05T14:56:24Z</dcterms:created>
  <dcterms:modified xsi:type="dcterms:W3CDTF">2026-09-08T18:23:57Z</dcterms:modified>
</cp:coreProperties>
</file>